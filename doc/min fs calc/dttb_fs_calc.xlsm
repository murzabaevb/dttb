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murzabaev\Documents\CST\DTTV\minimum FS\min fs calc\"/>
    </mc:Choice>
  </mc:AlternateContent>
  <xr:revisionPtr revIDLastSave="0" documentId="13_ncr:1_{8BFA1026-1AAE-4541-936B-3D37ABA2156F}" xr6:coauthVersionLast="47" xr6:coauthVersionMax="47" xr10:uidLastSave="{00000000-0000-0000-0000-000000000000}"/>
  <bookViews>
    <workbookView xWindow="-120" yWindow="-120" windowWidth="29040" windowHeight="15720" xr2:uid="{51D6B878-CDE0-46B2-986B-1210632E4AB5}"/>
  </bookViews>
  <sheets>
    <sheet name="calculato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1" i="1" l="1" a="1"/>
  <c r="E24" i="1" a="1"/>
  <c r="E21" i="1" l="1"/>
  <c r="E24" i="1"/>
  <c r="E23" i="1" a="1"/>
  <c r="E22" i="1" a="1"/>
  <c r="E25" i="1" a="1"/>
  <c r="E28" i="1" a="1"/>
  <c r="E23" i="1" l="1"/>
  <c r="E22" i="1"/>
  <c r="E28" i="1"/>
  <c r="E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<sst xmlns="http://schemas.openxmlformats.org/spreadsheetml/2006/main" count="92" uniqueCount="90">
  <si>
    <t>Ref. Att.1, Ann. 1, Rec. ITU-R BT.2033-2</t>
  </si>
  <si>
    <t>Receiver noise input power (dBW)</t>
  </si>
  <si>
    <t>Var</t>
  </si>
  <si>
    <t>Description</t>
  </si>
  <si>
    <r>
      <t>P</t>
    </r>
    <r>
      <rPr>
        <vertAlign val="subscript"/>
        <sz val="11"/>
        <color theme="1"/>
        <rFont val="Calibri"/>
        <family val="2"/>
        <scheme val="minor"/>
      </rPr>
      <t>n</t>
    </r>
  </si>
  <si>
    <t>Value</t>
  </si>
  <si>
    <r>
      <t>P</t>
    </r>
    <r>
      <rPr>
        <vertAlign val="subscript"/>
        <sz val="11"/>
        <color theme="1"/>
        <rFont val="Calibri"/>
        <family val="2"/>
        <scheme val="minor"/>
      </rPr>
      <t>s min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</si>
  <si>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s min </t>
    </r>
    <r>
      <rPr>
        <sz val="11"/>
        <color theme="1"/>
        <rFont val="Calibri"/>
        <family val="2"/>
        <scheme val="minor"/>
      </rPr>
      <t>= C/N + P</t>
    </r>
    <r>
      <rPr>
        <vertAlign val="subscript"/>
        <sz val="11"/>
        <color theme="1"/>
        <rFont val="Calibri"/>
        <family val="2"/>
        <scheme val="minor"/>
      </rPr>
      <t>n</t>
    </r>
  </si>
  <si>
    <t>minimum receiver input power (dBW)</t>
  </si>
  <si>
    <r>
      <t>A</t>
    </r>
    <r>
      <rPr>
        <vertAlign val="subscript"/>
        <sz val="11"/>
        <color theme="1"/>
        <rFont val="Calibri"/>
        <family val="2"/>
        <scheme val="minor"/>
      </rPr>
      <t>a</t>
    </r>
  </si>
  <si>
    <r>
      <t>A</t>
    </r>
    <r>
      <rPr>
        <vertAlign val="subscript"/>
        <sz val="11"/>
        <color theme="1"/>
        <rFont val="Calibri"/>
        <family val="2"/>
        <scheme val="minor"/>
      </rPr>
      <t xml:space="preserve">a </t>
    </r>
    <r>
      <rPr>
        <sz val="11"/>
        <color theme="1"/>
        <rFont val="Calibri"/>
        <family val="2"/>
        <scheme val="minor"/>
      </rPr>
      <t>= G + 10 log(1.64</t>
    </r>
    <r>
      <rPr>
        <sz val="11"/>
        <color theme="1"/>
        <rFont val="Calibri"/>
        <family val="2"/>
      </rPr>
      <t>λ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/4 π)</t>
    </r>
  </si>
  <si>
    <r>
      <t>effective antenna aperture (dBm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</si>
  <si>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>min</t>
    </r>
  </si>
  <si>
    <r>
      <rPr>
        <sz val="11"/>
        <color theme="1"/>
        <rFont val="Calibri"/>
        <family val="2"/>
      </rPr>
      <t>ϕ</t>
    </r>
    <r>
      <rPr>
        <vertAlign val="subscript"/>
        <sz val="11"/>
        <color theme="1"/>
        <rFont val="Calibri"/>
        <family val="2"/>
        <scheme val="minor"/>
      </rPr>
      <t>min</t>
    </r>
  </si>
  <si>
    <r>
      <t>minimum pfd at receiving place (dB(W/m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))</t>
    </r>
  </si>
  <si>
    <r>
      <t>equivalent minimum field strength at receiving place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</si>
  <si>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n </t>
    </r>
    <r>
      <rPr>
        <sz val="11"/>
        <color theme="1"/>
        <rFont val="Calibri"/>
        <family val="2"/>
        <scheme val="minor"/>
      </rPr>
      <t>= F + 10 log(k T</t>
    </r>
    <r>
      <rPr>
        <vertAlign val="subscript"/>
        <sz val="11"/>
        <color theme="1"/>
        <rFont val="Calibri"/>
        <family val="2"/>
        <scheme val="minor"/>
      </rPr>
      <t xml:space="preserve">0 </t>
    </r>
    <r>
      <rPr>
        <sz val="11"/>
        <color theme="1"/>
        <rFont val="Calibri"/>
        <family val="2"/>
        <scheme val="minor"/>
      </rPr>
      <t>B)</t>
    </r>
  </si>
  <si>
    <r>
      <rPr>
        <vertAlign val="subscript"/>
        <sz val="1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>ϕ</t>
    </r>
    <r>
      <rPr>
        <vertAlign val="subscript"/>
        <sz val="11"/>
        <color theme="1"/>
        <rFont val="Calibri"/>
        <family val="2"/>
        <scheme val="minor"/>
      </rPr>
      <t xml:space="preserve">min </t>
    </r>
    <r>
      <rPr>
        <sz val="11"/>
        <color theme="1"/>
        <rFont val="Calibri"/>
        <family val="2"/>
        <scheme val="minor"/>
      </rPr>
      <t>= P</t>
    </r>
    <r>
      <rPr>
        <vertAlign val="subscript"/>
        <sz val="11"/>
        <color theme="1"/>
        <rFont val="Calibri"/>
        <family val="2"/>
      </rPr>
      <t>s min</t>
    </r>
    <r>
      <rPr>
        <sz val="11"/>
        <color theme="1"/>
        <rFont val="Calibri"/>
        <family val="2"/>
        <scheme val="minor"/>
      </rPr>
      <t xml:space="preserve"> - A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+ L</t>
    </r>
    <r>
      <rPr>
        <vertAlign val="subscript"/>
        <sz val="11"/>
        <color theme="1"/>
        <rFont val="Calibri"/>
        <family val="2"/>
        <scheme val="minor"/>
      </rPr>
      <t>f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</si>
  <si>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min </t>
    </r>
    <r>
      <rPr>
        <sz val="11"/>
        <color theme="1"/>
        <rFont val="Calibri"/>
        <family val="2"/>
        <scheme val="minor"/>
      </rPr>
      <t>= ϕ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+ 120 + 10 log(120</t>
    </r>
    <r>
      <rPr>
        <sz val="11"/>
        <color theme="1"/>
        <rFont val="Calibri"/>
        <family val="2"/>
      </rPr>
      <t xml:space="preserve"> π) = ϕ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</rPr>
      <t xml:space="preserve"> + 145.8</t>
    </r>
  </si>
  <si>
    <r>
      <t>E</t>
    </r>
    <r>
      <rPr>
        <vertAlign val="subscript"/>
        <sz val="11"/>
        <color theme="1"/>
        <rFont val="Calibri"/>
        <family val="2"/>
        <scheme val="minor"/>
      </rPr>
      <t>med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</si>
  <si>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med </t>
    </r>
    <r>
      <rPr>
        <sz val="11"/>
        <color theme="1"/>
        <rFont val="Calibri"/>
        <family val="2"/>
        <scheme val="minor"/>
      </rPr>
      <t>= E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</t>
    </r>
    <r>
      <rPr>
        <sz val="11"/>
        <color theme="1"/>
        <rFont val="Calibri"/>
        <family val="2"/>
      </rPr>
      <t xml:space="preserve"> P</t>
    </r>
    <r>
      <rPr>
        <vertAlign val="subscript"/>
        <sz val="11"/>
        <color theme="1"/>
        <rFont val="Calibri"/>
        <family val="2"/>
      </rPr>
      <t>mmn</t>
    </r>
    <r>
      <rPr>
        <sz val="11"/>
        <color theme="1"/>
        <rFont val="Calibri"/>
        <family val="2"/>
      </rPr>
      <t xml:space="preserve"> + C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 + L</t>
    </r>
    <r>
      <rPr>
        <vertAlign val="subscript"/>
        <sz val="11"/>
        <color theme="1"/>
        <rFont val="Calibri"/>
        <family val="2"/>
      </rPr>
      <t>h</t>
    </r>
    <r>
      <rPr>
        <sz val="11"/>
        <color theme="1"/>
        <rFont val="Calibri"/>
        <family val="2"/>
      </rPr>
      <t xml:space="preserve"> + L</t>
    </r>
    <r>
      <rPr>
        <vertAlign val="subscript"/>
        <sz val="11"/>
        <color theme="1"/>
        <rFont val="Calibri"/>
        <family val="2"/>
      </rPr>
      <t>b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</si>
  <si>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med </t>
    </r>
    <r>
      <rPr>
        <sz val="11"/>
        <color theme="1"/>
        <rFont val="Calibri"/>
        <family val="2"/>
        <scheme val="minor"/>
      </rPr>
      <t>= E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</t>
    </r>
    <r>
      <rPr>
        <sz val="11"/>
        <color theme="1"/>
        <rFont val="Calibri"/>
        <family val="2"/>
      </rPr>
      <t xml:space="preserve"> P</t>
    </r>
    <r>
      <rPr>
        <vertAlign val="subscript"/>
        <sz val="11"/>
        <color theme="1"/>
        <rFont val="Calibri"/>
        <family val="2"/>
      </rPr>
      <t>mmn</t>
    </r>
    <r>
      <rPr>
        <sz val="11"/>
        <color theme="1"/>
        <rFont val="Calibri"/>
        <family val="2"/>
      </rPr>
      <t xml:space="preserve"> + C</t>
    </r>
    <r>
      <rPr>
        <vertAlign val="subscript"/>
        <sz val="11"/>
        <color theme="1"/>
        <rFont val="Calibri"/>
        <family val="2"/>
      </rPr>
      <t>1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</si>
  <si>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med </t>
    </r>
    <r>
      <rPr>
        <sz val="11"/>
        <color theme="1"/>
        <rFont val="Calibri"/>
        <family val="2"/>
        <scheme val="minor"/>
      </rPr>
      <t>= E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</t>
    </r>
    <r>
      <rPr>
        <sz val="11"/>
        <color theme="1"/>
        <rFont val="Calibri"/>
        <family val="2"/>
      </rPr>
      <t xml:space="preserve"> P</t>
    </r>
    <r>
      <rPr>
        <vertAlign val="subscript"/>
        <sz val="11"/>
        <color theme="1"/>
        <rFont val="Calibri"/>
        <family val="2"/>
      </rPr>
      <t>mmn</t>
    </r>
    <r>
      <rPr>
        <sz val="11"/>
        <color theme="1"/>
        <rFont val="Calibri"/>
        <family val="2"/>
      </rPr>
      <t xml:space="preserve"> + C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 + L</t>
    </r>
    <r>
      <rPr>
        <vertAlign val="subscript"/>
        <sz val="11"/>
        <color theme="1"/>
        <rFont val="Calibri"/>
        <family val="2"/>
      </rPr>
      <t>h</t>
    </r>
  </si>
  <si>
    <r>
      <t>minimum median equivalent field strength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 for roof top level fixed reception</t>
    </r>
  </si>
  <si>
    <r>
      <t>minimum median equivalent field strength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 for portable outdoor &amp; mobile reception</t>
    </r>
  </si>
  <si>
    <r>
      <t>C</t>
    </r>
    <r>
      <rPr>
        <vertAlign val="subscript"/>
        <sz val="11"/>
        <color theme="1"/>
        <rFont val="Calibri"/>
        <family val="2"/>
        <scheme val="minor"/>
      </rPr>
      <t>1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</si>
  <si>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1 </t>
    </r>
    <r>
      <rPr>
        <sz val="11"/>
        <color theme="1"/>
        <rFont val="Calibri"/>
        <family val="2"/>
        <scheme val="minor"/>
      </rPr>
      <t xml:space="preserve">= </t>
    </r>
    <r>
      <rPr>
        <sz val="11"/>
        <color theme="1"/>
        <rFont val="Calibri"/>
        <family val="2"/>
      </rPr>
      <t>μ + σ</t>
    </r>
    <r>
      <rPr>
        <vertAlign val="subscript"/>
        <sz val="11"/>
        <color theme="1"/>
        <rFont val="Calibri"/>
        <family val="2"/>
      </rPr>
      <t>t</t>
    </r>
  </si>
  <si>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</rPr>
      <t>t</t>
    </r>
  </si>
  <si>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  <scheme val="minor"/>
      </rPr>
      <t xml:space="preserve">t </t>
    </r>
    <r>
      <rPr>
        <sz val="11"/>
        <color theme="1"/>
        <rFont val="Calibri"/>
        <family val="2"/>
        <scheme val="minor"/>
      </rPr>
      <t>= SQRT(</t>
    </r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</rPr>
      <t>t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 + </t>
    </r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</rPr>
      <t>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</si>
  <si>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location correction factor (dB)</t>
  </si>
  <si>
    <t>total standard deviation (dB)</t>
  </si>
  <si>
    <r>
      <t>minimum median equivalent field strength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 for portable indoor &amp; mobile hand-held reception</t>
    </r>
  </si>
  <si>
    <r>
      <t>R</t>
    </r>
    <r>
      <rPr>
        <vertAlign val="subscript"/>
        <sz val="11"/>
        <color theme="1"/>
        <rFont val="Calibri"/>
        <family val="2"/>
        <scheme val="minor"/>
      </rPr>
      <t>type</t>
    </r>
  </si>
  <si>
    <r>
      <t>M</t>
    </r>
    <r>
      <rPr>
        <vertAlign val="subscript"/>
        <sz val="11"/>
        <color theme="1"/>
        <rFont val="Calibri"/>
        <family val="2"/>
        <scheme val="minor"/>
      </rPr>
      <t>type</t>
    </r>
  </si>
  <si>
    <r>
      <t>C</t>
    </r>
    <r>
      <rPr>
        <vertAlign val="subscript"/>
        <sz val="11"/>
        <color theme="1"/>
        <rFont val="Calibri"/>
        <family val="2"/>
        <scheme val="minor"/>
      </rPr>
      <t>rate</t>
    </r>
  </si>
  <si>
    <t>C/N</t>
  </si>
  <si>
    <t>RF S/N at the receiver input required by the system (dB)</t>
  </si>
  <si>
    <t>2/3</t>
  </si>
  <si>
    <t>F</t>
  </si>
  <si>
    <t>receiver noise figure (dB)</t>
  </si>
  <si>
    <t>Calculated (ref. Table 2, Rec. ITU-R BT.2033-2)</t>
  </si>
  <si>
    <t>Selectable (1/2, 3/5, 2/3, 3/4, 4/5, 5/6)</t>
  </si>
  <si>
    <t>Selectable (QPSK, 16-QAM, 64-QAM, 256-QAM)</t>
  </si>
  <si>
    <t>code rate</t>
  </si>
  <si>
    <t>type of reception</t>
  </si>
  <si>
    <t>type of modulation</t>
  </si>
  <si>
    <t>k</t>
  </si>
  <si>
    <t>Boltzmann’s constant</t>
  </si>
  <si>
    <r>
      <t>k = 1.38</t>
    </r>
    <r>
      <rPr>
        <sz val="11"/>
        <color theme="1"/>
        <rFont val="Calibri"/>
        <family val="2"/>
      </rPr>
      <t>∙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–23</t>
    </r>
    <r>
      <rPr>
        <sz val="11"/>
        <color theme="1"/>
        <rFont val="Calibri"/>
        <family val="2"/>
        <scheme val="minor"/>
      </rPr>
      <t xml:space="preserve"> J/K</t>
    </r>
  </si>
  <si>
    <t>absolute temperature</t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</si>
  <si>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= 290 K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</si>
  <si>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</si>
  <si>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t>B</t>
  </si>
  <si>
    <t>receiver noise bandwidth</t>
  </si>
  <si>
    <r>
      <t xml:space="preserve">B = 7.61 </t>
    </r>
    <r>
      <rPr>
        <sz val="11"/>
        <color theme="1"/>
        <rFont val="Calibri"/>
        <family val="2"/>
      </rPr>
      <t>∙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 xml:space="preserve"> Hz</t>
    </r>
  </si>
  <si>
    <t>Formula or reference source</t>
  </si>
  <si>
    <t>G</t>
  </si>
  <si>
    <t>Selectable (fixed,  portable, handheld, mobile)</t>
  </si>
  <si>
    <t>antenna gain related to half dipole (dBd)</t>
  </si>
  <si>
    <t>Calculated (ref. ITU-R BT.2036-5 (Fixed), ITU-R BT.2033-2 (Portable, Hand-held, Mobile))</t>
  </si>
  <si>
    <t>f</t>
  </si>
  <si>
    <t>frequency (MHz)</t>
  </si>
  <si>
    <t>Band I (47-68 MHz), Band III (174-230 MHz), Band IV (470-582 MHz), Band V (582-862 MHz)</t>
  </si>
  <si>
    <t>ref. Table 3, Annex 1, Rec. ITU-R BT.2036-5 [Band I (7...10), Band III (6…10), Band IV/V (6…7)]</t>
  </si>
  <si>
    <r>
      <t>E</t>
    </r>
    <r>
      <rPr>
        <vertAlign val="subscript"/>
        <sz val="11"/>
        <color theme="1"/>
        <rFont val="Calibri"/>
        <family val="2"/>
        <scheme val="minor"/>
      </rPr>
      <t>type</t>
    </r>
  </si>
  <si>
    <t>type of environment</t>
  </si>
  <si>
    <t>fixed</t>
  </si>
  <si>
    <t>64-QAM</t>
  </si>
  <si>
    <r>
      <t>H</t>
    </r>
    <r>
      <rPr>
        <vertAlign val="subscript"/>
        <sz val="11"/>
        <color theme="1"/>
        <rFont val="Calibri"/>
        <family val="2"/>
        <scheme val="minor"/>
      </rPr>
      <t>Rx</t>
    </r>
  </si>
  <si>
    <t>receiver antenna height (m)</t>
  </si>
  <si>
    <t>Calculated (ref. ITU-R BT.2036-5, Table 1)</t>
  </si>
  <si>
    <t>Selectable (urban, rural)</t>
  </si>
  <si>
    <t>antenna type of portable receiver</t>
  </si>
  <si>
    <r>
      <t>A</t>
    </r>
    <r>
      <rPr>
        <vertAlign val="subscript"/>
        <sz val="11"/>
        <color theme="1"/>
        <rFont val="Calibri"/>
        <family val="2"/>
        <scheme val="minor"/>
      </rPr>
      <t>type</t>
    </r>
  </si>
  <si>
    <t>Selectable (integrated or external). Mandatory only for portable type of reception</t>
  </si>
  <si>
    <t>feeder loss (dB)</t>
  </si>
  <si>
    <r>
      <t>L</t>
    </r>
    <r>
      <rPr>
        <vertAlign val="subscript"/>
        <sz val="11"/>
        <color theme="1"/>
        <rFont val="Calibri"/>
        <family val="2"/>
        <scheme val="minor"/>
      </rPr>
      <t>f</t>
    </r>
  </si>
  <si>
    <t>Calculated (ref. Rec. ITU-R BT.2033-2, Tables 31 and 32)</t>
  </si>
  <si>
    <t>rural</t>
  </si>
  <si>
    <t>external</t>
  </si>
  <si>
    <r>
      <t>P</t>
    </r>
    <r>
      <rPr>
        <vertAlign val="subscript"/>
        <sz val="11"/>
        <color theme="1"/>
        <rFont val="Calibri"/>
        <family val="2"/>
      </rPr>
      <t>mmn</t>
    </r>
  </si>
  <si>
    <t>allowance for man-made noise (dB)</t>
  </si>
  <si>
    <t>Calculated (ref. ITU-R BT.2036-5, Table 5)</t>
  </si>
  <si>
    <t>λ</t>
  </si>
  <si>
    <t>wavelength of the signal (m)</t>
  </si>
  <si>
    <t>Calculated based on frequency</t>
  </si>
  <si>
    <t>buildings type</t>
  </si>
  <si>
    <r>
      <t>B</t>
    </r>
    <r>
      <rPr>
        <vertAlign val="subscript"/>
        <sz val="11"/>
        <color theme="1"/>
        <rFont val="Calibri"/>
        <family val="2"/>
        <scheme val="minor"/>
      </rPr>
      <t>type</t>
    </r>
  </si>
  <si>
    <t>Selectable (high, medium, low). Ref: Rec. ITU-R BT.2033-2, Table 27. Only for portable indoor and handheld reception types</t>
  </si>
  <si>
    <t>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</si>
</sst>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/>
    </xf>
    <xf numFmtId="0" fontId="0" fillId="0" borderId="0" xfId="0" applyFont="1"/>
    <xf numFmtId="2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0" fillId="2" borderId="0" xfId="0" applyFill="1" applyAlignment="1">
      <alignment vertical="center"/>
    </xf>
    <xf numFmtId="49" fontId="0" fillId="2" borderId="0" xfId="0" quotePrefix="1" applyNumberFormat="1" applyFill="1" applyAlignment="1">
      <alignment vertical="center"/>
    </xf>
    <xf numFmtId="11" fontId="0" fillId="2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ont="1" applyAlignment="1">
      <alignment vertical="center" wrapText="1"/>
    </xf>
    <xf numFmtId="2" fontId="0" fillId="0" borderId="0" xfId="0" applyNumberForma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60665-8605-462D-8680-30B77CCC2DAB}">
  <sheetPr codeName="Sheet1"/>
  <dimension ref="B3:E54"/>
  <sheetViews>
    <sheetView tabSelected="1" workbookViewId="0">
      <selection activeCell="F8" sqref="F8"/>
    </sheetView>
  </sheetViews>
  <sheetFormatPr defaultRowHeight="15" x14ac:dyDescent="0.25"/>
  <cols>
    <col min="2" max="2" width="8.5703125" customWidth="1"/>
    <col min="3" max="3" width="37" style="2" customWidth="1"/>
    <col min="4" max="4" width="41.42578125" bestFit="1" customWidth="1"/>
    <col min="5" max="5" width="15.42578125" customWidth="1"/>
  </cols>
  <sheetData>
    <row r="3" spans="2:5" x14ac:dyDescent="0.25">
      <c r="B3" s="1" t="s">
        <v>0</v>
      </c>
    </row>
    <row r="6" spans="2:5" x14ac:dyDescent="0.25">
      <c r="B6" s="1" t="s">
        <v>2</v>
      </c>
      <c r="C6" s="3" t="s">
        <v>3</v>
      </c>
      <c r="D6" s="1" t="s">
        <v>55</v>
      </c>
      <c r="E6" s="1" t="s">
        <v>5</v>
      </c>
    </row>
    <row r="7" spans="2:5" ht="33.950000000000003" customHeight="1" x14ac:dyDescent="0.25">
      <c r="B7" s="4" t="s">
        <v>64</v>
      </c>
      <c r="C7" s="5" t="s">
        <v>65</v>
      </c>
      <c r="D7" s="5" t="s">
        <v>71</v>
      </c>
      <c r="E7" s="10" t="s">
        <v>78</v>
      </c>
    </row>
    <row r="8" spans="2:5" ht="45" x14ac:dyDescent="0.25">
      <c r="B8" s="4" t="s">
        <v>87</v>
      </c>
      <c r="C8" s="5" t="s">
        <v>86</v>
      </c>
      <c r="D8" s="5" t="s">
        <v>88</v>
      </c>
      <c r="E8" s="10" t="s">
        <v>89</v>
      </c>
    </row>
    <row r="9" spans="2:5" ht="33.950000000000003" customHeight="1" x14ac:dyDescent="0.25">
      <c r="B9" s="4" t="s">
        <v>73</v>
      </c>
      <c r="C9" s="5" t="s">
        <v>72</v>
      </c>
      <c r="D9" s="5" t="s">
        <v>74</v>
      </c>
      <c r="E9" s="10" t="s">
        <v>79</v>
      </c>
    </row>
    <row r="10" spans="2:5" ht="33.950000000000003" hidden="1" customHeight="1" x14ac:dyDescent="0.25">
      <c r="B10" s="4"/>
      <c r="C10" s="5"/>
      <c r="D10" s="5"/>
      <c r="E10" s="10"/>
    </row>
    <row r="11" spans="2:5" ht="33.950000000000003" hidden="1" customHeight="1" x14ac:dyDescent="0.25">
      <c r="B11" s="4"/>
      <c r="C11" s="5"/>
      <c r="D11" s="5"/>
      <c r="E11" s="10"/>
    </row>
    <row r="12" spans="2:5" ht="33.950000000000003" hidden="1" customHeight="1" x14ac:dyDescent="0.25">
      <c r="B12" s="4"/>
      <c r="C12" s="5"/>
      <c r="D12" s="5"/>
      <c r="E12" s="10"/>
    </row>
    <row r="13" spans="2:5" ht="33.950000000000003" hidden="1" customHeight="1" x14ac:dyDescent="0.25">
      <c r="B13" s="4"/>
      <c r="C13" s="5"/>
      <c r="D13" s="5"/>
      <c r="E13" s="10"/>
    </row>
    <row r="14" spans="2:5" ht="33.950000000000003" hidden="1" customHeight="1" x14ac:dyDescent="0.25">
      <c r="B14" s="4"/>
      <c r="C14" s="5"/>
      <c r="D14" s="5"/>
      <c r="E14" s="10"/>
    </row>
    <row r="15" spans="2:5" s="7" customFormat="1" ht="33.950000000000003" customHeight="1" x14ac:dyDescent="0.25">
      <c r="B15" s="4" t="s">
        <v>32</v>
      </c>
      <c r="C15" s="5" t="s">
        <v>44</v>
      </c>
      <c r="D15" s="5" t="s">
        <v>57</v>
      </c>
      <c r="E15" s="10" t="s">
        <v>66</v>
      </c>
    </row>
    <row r="16" spans="2:5" s="7" customFormat="1" ht="33.950000000000003" customHeight="1" x14ac:dyDescent="0.25">
      <c r="B16" s="4" t="s">
        <v>33</v>
      </c>
      <c r="C16" s="5" t="s">
        <v>45</v>
      </c>
      <c r="D16" s="5" t="s">
        <v>42</v>
      </c>
      <c r="E16" s="10" t="s">
        <v>67</v>
      </c>
    </row>
    <row r="17" spans="2:5" s="7" customFormat="1" ht="33.950000000000003" customHeight="1" x14ac:dyDescent="0.25">
      <c r="B17" s="4" t="s">
        <v>34</v>
      </c>
      <c r="C17" s="5" t="s">
        <v>43</v>
      </c>
      <c r="D17" s="5" t="s">
        <v>41</v>
      </c>
      <c r="E17" s="11" t="s">
        <v>37</v>
      </c>
    </row>
    <row r="18" spans="2:5" s="7" customFormat="1" ht="33.950000000000003" customHeight="1" x14ac:dyDescent="0.25">
      <c r="B18" s="4" t="s">
        <v>52</v>
      </c>
      <c r="C18" s="5" t="s">
        <v>53</v>
      </c>
      <c r="D18" s="5" t="s">
        <v>54</v>
      </c>
      <c r="E18" s="12">
        <v>7610000</v>
      </c>
    </row>
    <row r="19" spans="2:5" s="7" customFormat="1" ht="45" x14ac:dyDescent="0.25">
      <c r="B19" s="4" t="s">
        <v>38</v>
      </c>
      <c r="C19" s="5" t="s">
        <v>39</v>
      </c>
      <c r="D19" s="5" t="s">
        <v>63</v>
      </c>
      <c r="E19" s="10">
        <v>6</v>
      </c>
    </row>
    <row r="20" spans="2:5" s="7" customFormat="1" ht="33.950000000000003" customHeight="1" x14ac:dyDescent="0.25">
      <c r="B20" s="4" t="s">
        <v>60</v>
      </c>
      <c r="C20" s="5" t="s">
        <v>61</v>
      </c>
      <c r="D20" s="5" t="s">
        <v>62</v>
      </c>
      <c r="E20" s="10">
        <v>470</v>
      </c>
    </row>
    <row r="21" spans="2:5" s="7" customFormat="1" ht="33.950000000000003" customHeight="1" x14ac:dyDescent="0.25">
      <c r="B21" s="6" t="s">
        <v>83</v>
      </c>
      <c r="C21" s="5" t="s">
        <v>84</v>
      </c>
      <c r="D21" s="5" t="s">
        <v>85</v>
      </c>
      <c r="E21" s="15" cm="1">
        <f t="array" ref="E21">Wavelength(E20)</f>
        <v>0.63785629361702123</v>
      </c>
    </row>
    <row r="22" spans="2:5" s="7" customFormat="1" ht="33.950000000000003" customHeight="1" x14ac:dyDescent="0.25">
      <c r="B22" s="4" t="s">
        <v>68</v>
      </c>
      <c r="C22" s="5" t="s">
        <v>69</v>
      </c>
      <c r="D22" s="5" t="s">
        <v>70</v>
      </c>
      <c r="E22" s="13" cm="1">
        <f t="array" ref="E22">DVB_T2_Rx_Height(E15)</f>
        <v>10</v>
      </c>
    </row>
    <row r="23" spans="2:5" s="7" customFormat="1" ht="33.950000000000003" customHeight="1" x14ac:dyDescent="0.25">
      <c r="B23" s="4" t="s">
        <v>76</v>
      </c>
      <c r="C23" s="5" t="s">
        <v>75</v>
      </c>
      <c r="D23" s="5" t="s">
        <v>82</v>
      </c>
      <c r="E23" s="13" cm="1">
        <f t="array" ref="E23">DVB_T2_Feeder_Loss(E15,E20)</f>
        <v>3</v>
      </c>
    </row>
    <row r="24" spans="2:5" s="7" customFormat="1" ht="33.950000000000003" customHeight="1" x14ac:dyDescent="0.25">
      <c r="B24" s="6" t="s">
        <v>80</v>
      </c>
      <c r="C24" s="14" t="s">
        <v>81</v>
      </c>
      <c r="D24" s="5" t="s">
        <v>77</v>
      </c>
      <c r="E24" s="13" cm="1">
        <f t="array" ref="E24">DVB_T2_ManMadeNoise(E7,E15,E9,E20)</f>
        <v>0</v>
      </c>
    </row>
    <row r="25" spans="2:5" s="7" customFormat="1" ht="33.950000000000003" customHeight="1" x14ac:dyDescent="0.25">
      <c r="B25" s="4" t="s">
        <v>56</v>
      </c>
      <c r="C25" s="5" t="s">
        <v>58</v>
      </c>
      <c r="D25" s="5" t="s">
        <v>59</v>
      </c>
      <c r="E25" s="8" cm="1">
        <f t="array" ref="E25">DVB_T2_Ant_Gain(E15, E20)</f>
        <v>8</v>
      </c>
    </row>
    <row r="26" spans="2:5" s="7" customFormat="1" ht="33.950000000000003" customHeight="1" x14ac:dyDescent="0.25">
      <c r="B26" s="4" t="s">
        <v>46</v>
      </c>
      <c r="C26" s="5" t="s">
        <v>47</v>
      </c>
      <c r="D26" s="5" t="s">
        <v>48</v>
      </c>
      <c r="E26" s="4">
        <v>1.3800000000000001E-23</v>
      </c>
    </row>
    <row r="27" spans="2:5" s="7" customFormat="1" ht="33.950000000000003" customHeight="1" x14ac:dyDescent="0.25">
      <c r="B27" s="5" t="s">
        <v>51</v>
      </c>
      <c r="C27" s="5" t="s">
        <v>49</v>
      </c>
      <c r="D27" s="5" t="s">
        <v>50</v>
      </c>
      <c r="E27" s="4">
        <v>290</v>
      </c>
    </row>
    <row r="28" spans="2:5" s="7" customFormat="1" ht="33.950000000000003" customHeight="1" x14ac:dyDescent="0.25">
      <c r="B28" s="4" t="s">
        <v>35</v>
      </c>
      <c r="C28" s="5" t="s">
        <v>36</v>
      </c>
      <c r="D28" s="5" t="s">
        <v>40</v>
      </c>
      <c r="E28" s="4" cm="1">
        <f t="array" ref="E28">DVB_T2_PR(E15,E16,E17)</f>
        <v>15.4</v>
      </c>
    </row>
    <row r="29" spans="2:5" s="4" customFormat="1" ht="33.950000000000003" customHeight="1" x14ac:dyDescent="0.25">
      <c r="B29" s="4" t="s">
        <v>4</v>
      </c>
      <c r="C29" s="5" t="s">
        <v>1</v>
      </c>
      <c r="D29" s="4" t="s">
        <v>16</v>
      </c>
      <c r="E29" s="9"/>
    </row>
    <row r="30" spans="2:5" s="4" customFormat="1" ht="33.950000000000003" customHeight="1" x14ac:dyDescent="0.25">
      <c r="B30" s="4" t="s">
        <v>6</v>
      </c>
      <c r="C30" s="5" t="s">
        <v>8</v>
      </c>
      <c r="D30" s="4" t="s">
        <v>7</v>
      </c>
    </row>
    <row r="31" spans="2:5" s="4" customFormat="1" ht="33.950000000000003" customHeight="1" x14ac:dyDescent="0.25">
      <c r="B31" s="4" t="s">
        <v>9</v>
      </c>
      <c r="C31" s="5" t="s">
        <v>11</v>
      </c>
      <c r="D31" s="4" t="s">
        <v>10</v>
      </c>
    </row>
    <row r="32" spans="2:5" s="4" customFormat="1" ht="33.950000000000003" customHeight="1" x14ac:dyDescent="0.25">
      <c r="B32" s="4" t="s">
        <v>13</v>
      </c>
      <c r="C32" s="5" t="s">
        <v>14</v>
      </c>
      <c r="D32" s="4" t="s">
        <v>17</v>
      </c>
    </row>
    <row r="33" spans="2:4" s="4" customFormat="1" ht="33.950000000000003" customHeight="1" x14ac:dyDescent="0.25">
      <c r="B33" s="4" t="s">
        <v>12</v>
      </c>
      <c r="C33" s="5" t="s">
        <v>15</v>
      </c>
      <c r="D33" s="4" t="s">
        <v>18</v>
      </c>
    </row>
    <row r="34" spans="2:4" s="4" customFormat="1" ht="45" x14ac:dyDescent="0.25">
      <c r="B34" s="4" t="s">
        <v>19</v>
      </c>
      <c r="C34" s="5" t="s">
        <v>23</v>
      </c>
      <c r="D34" s="4" t="s">
        <v>21</v>
      </c>
    </row>
    <row r="35" spans="2:4" s="4" customFormat="1" ht="45" x14ac:dyDescent="0.25">
      <c r="B35" s="4" t="s">
        <v>19</v>
      </c>
      <c r="C35" s="5" t="s">
        <v>24</v>
      </c>
      <c r="D35" s="4" t="s">
        <v>22</v>
      </c>
    </row>
    <row r="36" spans="2:4" s="4" customFormat="1" ht="45" x14ac:dyDescent="0.25">
      <c r="B36" s="4" t="s">
        <v>19</v>
      </c>
      <c r="C36" s="5" t="s">
        <v>31</v>
      </c>
      <c r="D36" s="4" t="s">
        <v>20</v>
      </c>
    </row>
    <row r="37" spans="2:4" s="4" customFormat="1" ht="33.950000000000003" customHeight="1" x14ac:dyDescent="0.25">
      <c r="B37" s="4" t="s">
        <v>25</v>
      </c>
      <c r="C37" s="5" t="s">
        <v>29</v>
      </c>
      <c r="D37" s="4" t="s">
        <v>26</v>
      </c>
    </row>
    <row r="38" spans="2:4" s="4" customFormat="1" ht="33.950000000000003" customHeight="1" x14ac:dyDescent="0.25">
      <c r="B38" s="6" t="s">
        <v>27</v>
      </c>
      <c r="C38" s="5" t="s">
        <v>30</v>
      </c>
      <c r="D38" s="4" t="s">
        <v>28</v>
      </c>
    </row>
    <row r="39" spans="2:4" s="4" customFormat="1" ht="33.950000000000003" customHeight="1" x14ac:dyDescent="0.25">
      <c r="C39" s="5"/>
    </row>
    <row r="40" spans="2:4" s="4" customFormat="1" ht="33.950000000000003" customHeight="1" x14ac:dyDescent="0.25">
      <c r="C40" s="5"/>
    </row>
    <row r="41" spans="2:4" s="4" customFormat="1" ht="33.950000000000003" customHeight="1" x14ac:dyDescent="0.25">
      <c r="C41" s="5"/>
    </row>
    <row r="42" spans="2:4" s="4" customFormat="1" ht="33.950000000000003" customHeight="1" x14ac:dyDescent="0.25">
      <c r="C42" s="5"/>
    </row>
    <row r="43" spans="2:4" s="4" customFormat="1" ht="33.950000000000003" customHeight="1" x14ac:dyDescent="0.25">
      <c r="C43" s="5"/>
    </row>
    <row r="44" spans="2:4" s="4" customFormat="1" ht="33.950000000000003" customHeight="1" x14ac:dyDescent="0.25">
      <c r="C44" s="5"/>
    </row>
    <row r="45" spans="2:4" s="4" customFormat="1" ht="33.950000000000003" customHeight="1" x14ac:dyDescent="0.25">
      <c r="C45" s="5"/>
    </row>
    <row r="46" spans="2:4" s="4" customFormat="1" ht="33.950000000000003" customHeight="1" x14ac:dyDescent="0.25">
      <c r="C46" s="5"/>
    </row>
    <row r="47" spans="2:4" s="4" customFormat="1" ht="33.950000000000003" customHeight="1" x14ac:dyDescent="0.25">
      <c r="C47" s="5"/>
    </row>
    <row r="48" spans="2:4" s="4" customFormat="1" ht="33.950000000000003" customHeight="1" x14ac:dyDescent="0.25">
      <c r="C48" s="5"/>
    </row>
    <row r="49" spans="3:3" s="4" customFormat="1" ht="33.950000000000003" customHeight="1" x14ac:dyDescent="0.25">
      <c r="C49" s="5"/>
    </row>
    <row r="50" spans="3:3" s="4" customFormat="1" ht="33.950000000000003" customHeight="1" x14ac:dyDescent="0.25">
      <c r="C50" s="5"/>
    </row>
    <row r="51" spans="3:3" s="4" customFormat="1" ht="33.950000000000003" customHeight="1" x14ac:dyDescent="0.25">
      <c r="C51" s="5"/>
    </row>
    <row r="52" spans="3:3" s="4" customFormat="1" ht="33.950000000000003" customHeight="1" x14ac:dyDescent="0.25">
      <c r="C52" s="5"/>
    </row>
    <row r="53" spans="3:3" s="4" customFormat="1" ht="33.950000000000003" customHeight="1" x14ac:dyDescent="0.25">
      <c r="C53" s="5"/>
    </row>
    <row r="54" spans="3:3" s="4" customFormat="1" ht="33.950000000000003" customHeight="1" x14ac:dyDescent="0.25">
      <c r="C54" s="5"/>
    </row>
  </sheetData>
  <dataValidations count="6">
    <dataValidation type="list" errorStyle="warning" allowBlank="1" showInputMessage="1" showErrorMessage="1" errorTitle="Not acceptable" error="Only listed options shall be selected" promptTitle="Select..." prompt="Select from the options" sqref="E15" xr:uid="{85D1CDB7-DC6D-4A80-BE93-3EDEA66A6B03}">
      <formula1>"fixed,portable,handheld,mobile"</formula1>
    </dataValidation>
    <dataValidation type="list" errorStyle="warning" showInputMessage="1" showErrorMessage="1" errorTitle="Not acceptable" error="Only listed options shall be selected" promptTitle="Select..." prompt="Select from the options" sqref="E16" xr:uid="{38303ABB-638B-4AA5-8B06-C3B14616ABA6}">
      <formula1>"QPSK,16-QAM,64-QAM,256-QAM"</formula1>
    </dataValidation>
    <dataValidation type="list" showInputMessage="1" showErrorMessage="1" errorTitle="Not acceptable" error="Only listed options shall be selected" promptTitle="Select..." prompt="Select from the listed options" sqref="E17" xr:uid="{6B2A00F3-3FFF-401C-9DA2-D86C093EFF02}">
      <formula1>"'1/2,'3/5,'2/3,'3/4,'4/5,'5/6"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7" xr:uid="{1DF5BFDC-4E19-423B-8D7E-2B45A2910D6D}">
      <formula1>"urban,rural"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9" xr:uid="{8B50D922-2F5E-499D-AE89-CE4F8AF07A24}">
      <formula1>"integrated,external"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8" xr:uid="{CA693F2F-F825-4CB4-A75E-50FE5FBF0042}">
      <formula1>"high,medium,low"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c455590a-fded-4d87-887c-5007970e4dd7</TitusGUID>
  <TitusMetadata xmlns="">eyJucyI6Imh0dHA6XC9cL3d3dy50aXR1cy5jb21cL25zXC9tZWxpc3NhIiwicHJvcHMiOlt7Im4iOiJDTEFTU0lGSUNBVElPTiIsInZhbHMiOlt7InZhbHVlIjoiVElUVVNfSU5URVJOQUwifV19XX0=</TitusMetadata>
</titus>
</file>

<file path=customXml/itemProps1.xml><?xml version="1.0" encoding="utf-8"?>
<ds:datastoreItem xmlns:ds="http://schemas.openxmlformats.org/officeDocument/2006/customXml" ds:itemID="{3CDB3A6B-E6F9-4732-9E91-0D380D7AFAB9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DTTB min field strength calculator</dc:title>
  <dc:creator>Bakyt-Bek Murzabaev</dc:creator>
  <cp:keywords>DTTB;DVB-T2;DVB-T</cp:keywords>
  <cp:lastModifiedBy>Bakyt-Bek 2nd Rev</cp:lastModifiedBy>
  <dcterms:created xsi:type="dcterms:W3CDTF">2025-11-12T09:00:27Z</dcterms:created>
  <dcterms:modified xsi:type="dcterms:W3CDTF">2025-11-13T18:20:29Z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c455590a-fded-4d87-887c-5007970e4dd7</vt:lpwstr>
  </property>
  <property fmtid="{D5CDD505-2E9C-101B-9397-08002B2CF9AE}" pid="3" name="OriginatingUser">
    <vt:lpwstr>bmurzabaev</vt:lpwstr>
  </property>
  <property fmtid="{D5CDD505-2E9C-101B-9397-08002B2CF9AE}" pid="4" name="CLASSIFICATION">
    <vt:lpwstr>TITUS_INTERNAL</vt:lpwstr>
  </property>
</Properties>
</file>