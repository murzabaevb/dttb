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murzabaev\myProjects\dvb_t\doc\min fs calc\"/>
    </mc:Choice>
  </mc:AlternateContent>
  <xr:revisionPtr revIDLastSave="0" documentId="13_ncr:1_{E60244E4-D3C8-45E0-94C3-696C5371A775}" xr6:coauthVersionLast="47" xr6:coauthVersionMax="47" xr10:uidLastSave="{00000000-0000-0000-0000-000000000000}"/>
  <bookViews>
    <workbookView xWindow="-1395" yWindow="2475" windowWidth="16485" windowHeight="7785" xr2:uid="{51D6B878-CDE0-46B2-986B-1210632E4AB5}"/>
  </bookViews>
  <sheets>
    <sheet name="calculato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35" i="1" l="1"/>
  <c r="F36" i="1" s="1"/>
  <c r="F27" i="1"/>
  <c r="F28" i="1" s="1"/>
  <c r="E35" i="1"/>
  <c r="F20" i="1" a="1"/>
  <c r="E24" i="1" a="1"/>
  <c r="E30" i="1" a="1"/>
  <c r="E25" i="1" a="1"/>
  <c r="E22" i="1" a="1"/>
  <c r="E19" i="1" a="1"/>
  <c r="E23" i="1" a="1"/>
  <c r="E20" i="1" a="1"/>
  <c r="E29" i="1" a="1"/>
  <c r="E31" i="1" a="1"/>
  <c r="E21" i="1" a="1"/>
  <c r="F20" i="1" l="1"/>
  <c r="F37" i="1" s="1"/>
  <c r="F38" i="1" s="1"/>
  <c r="F39" i="1" s="1"/>
  <c r="E30" i="1"/>
  <c r="E25" i="1"/>
  <c r="E27" i="1" s="1"/>
  <c r="E29" i="1"/>
  <c r="E31" i="1"/>
  <c r="E23" i="1"/>
  <c r="E22" i="1"/>
  <c r="E21" i="1"/>
  <c r="E37" i="1" s="1"/>
  <c r="E20" i="1"/>
  <c r="E19" i="1"/>
  <c r="E36" i="1" s="1"/>
  <c r="E24" i="1"/>
  <c r="F42" i="1" l="1"/>
  <c r="F41" i="1"/>
  <c r="F40" i="1"/>
  <c r="E28" i="1"/>
  <c r="E38" i="1"/>
  <c r="E39" i="1" s="1"/>
  <c r="E42" i="1" l="1"/>
  <c r="E40" i="1"/>
  <c r="E4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<sst xmlns="http://schemas.openxmlformats.org/spreadsheetml/2006/main" count="120" uniqueCount="117">
  <si>
    <t>Receiver noise input power (dBW)</t>
  </si>
  <si>
    <t>Var</t>
  </si>
  <si>
    <t>Description</t>
  </si>
  <si>
    <r>
      <t>P</t>
    </r>
    <r>
      <rPr>
        <vertAlign val="subscript"/>
        <sz val="11"/>
        <color theme="1"/>
        <rFont val="Calibri"/>
        <family val="2"/>
        <scheme val="minor"/>
      </rPr>
      <t>n</t>
    </r>
  </si>
  <si>
    <r>
      <t>P</t>
    </r>
    <r>
      <rPr>
        <vertAlign val="subscript"/>
        <sz val="11"/>
        <color theme="1"/>
        <rFont val="Calibri"/>
        <family val="2"/>
        <scheme val="minor"/>
      </rPr>
      <t>s min</t>
    </r>
  </si>
  <si>
    <r>
      <t>P</t>
    </r>
    <r>
      <rPr>
        <vertAlign val="subscript"/>
        <sz val="11"/>
        <color theme="1"/>
        <rFont val="Calibri"/>
        <family val="2"/>
        <scheme val="minor"/>
      </rPr>
      <t xml:space="preserve">s min </t>
    </r>
    <r>
      <rPr>
        <sz val="11"/>
        <color theme="1"/>
        <rFont val="Calibri"/>
        <family val="2"/>
        <scheme val="minor"/>
      </rPr>
      <t>= C/N + P</t>
    </r>
    <r>
      <rPr>
        <vertAlign val="subscript"/>
        <sz val="11"/>
        <color theme="1"/>
        <rFont val="Calibri"/>
        <family val="2"/>
        <scheme val="minor"/>
      </rPr>
      <t>n</t>
    </r>
  </si>
  <si>
    <t>minimum receiver input power (dBW)</t>
  </si>
  <si>
    <r>
      <t>A</t>
    </r>
    <r>
      <rPr>
        <vertAlign val="subscript"/>
        <sz val="11"/>
        <color theme="1"/>
        <rFont val="Calibri"/>
        <family val="2"/>
        <scheme val="minor"/>
      </rPr>
      <t>a</t>
    </r>
  </si>
  <si>
    <r>
      <t>effective antenna aperture (dBm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</si>
  <si>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E</t>
    </r>
    <r>
      <rPr>
        <vertAlign val="subscript"/>
        <sz val="11"/>
        <color theme="1"/>
        <rFont val="Calibri"/>
        <family val="2"/>
        <scheme val="minor"/>
      </rPr>
      <t>min</t>
    </r>
  </si>
  <si>
    <r>
      <rPr>
        <sz val="11"/>
        <color theme="1"/>
        <rFont val="Calibri"/>
        <family val="2"/>
      </rPr>
      <t>ϕ</t>
    </r>
    <r>
      <rPr>
        <vertAlign val="subscript"/>
        <sz val="11"/>
        <color theme="1"/>
        <rFont val="Calibri"/>
        <family val="2"/>
        <scheme val="minor"/>
      </rPr>
      <t>min</t>
    </r>
  </si>
  <si>
    <r>
      <t>minimum pfd at receiving place (dB(W/m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))</t>
    </r>
  </si>
  <si>
    <r>
      <t>equivalent minimum field strength at receiving place (dB(</t>
    </r>
    <r>
      <rPr>
        <sz val="11"/>
        <color theme="1"/>
        <rFont val="Calibri"/>
        <family val="2"/>
      </rPr>
      <t>μ</t>
    </r>
    <r>
      <rPr>
        <sz val="11"/>
        <color theme="1"/>
        <rFont val="Calibri"/>
        <family val="2"/>
        <scheme val="minor"/>
      </rPr>
      <t>V/m))</t>
    </r>
  </si>
  <si>
    <r>
      <t>P</t>
    </r>
    <r>
      <rPr>
        <vertAlign val="subscript"/>
        <sz val="11"/>
        <color theme="1"/>
        <rFont val="Calibri"/>
        <family val="2"/>
        <scheme val="minor"/>
      </rPr>
      <t xml:space="preserve">n </t>
    </r>
    <r>
      <rPr>
        <sz val="11"/>
        <color theme="1"/>
        <rFont val="Calibri"/>
        <family val="2"/>
        <scheme val="minor"/>
      </rPr>
      <t>= F + 10 log(k T</t>
    </r>
    <r>
      <rPr>
        <vertAlign val="subscript"/>
        <sz val="11"/>
        <color theme="1"/>
        <rFont val="Calibri"/>
        <family val="2"/>
        <scheme val="minor"/>
      </rPr>
      <t xml:space="preserve">0 </t>
    </r>
    <r>
      <rPr>
        <sz val="11"/>
        <color theme="1"/>
        <rFont val="Calibri"/>
        <family val="2"/>
        <scheme val="minor"/>
      </rPr>
      <t>B)</t>
    </r>
  </si>
  <si>
    <r>
      <rPr>
        <vertAlign val="subscript"/>
        <sz val="11"/>
        <color theme="1"/>
        <rFont val="Calibri"/>
        <family val="2"/>
      </rPr>
      <t xml:space="preserve"> </t>
    </r>
    <r>
      <rPr>
        <sz val="11"/>
        <color theme="1"/>
        <rFont val="Calibri"/>
        <family val="2"/>
      </rPr>
      <t>ϕ</t>
    </r>
    <r>
      <rPr>
        <vertAlign val="subscript"/>
        <sz val="11"/>
        <color theme="1"/>
        <rFont val="Calibri"/>
        <family val="2"/>
        <scheme val="minor"/>
      </rPr>
      <t xml:space="preserve">min </t>
    </r>
    <r>
      <rPr>
        <sz val="11"/>
        <color theme="1"/>
        <rFont val="Calibri"/>
        <family val="2"/>
        <scheme val="minor"/>
      </rPr>
      <t>= P</t>
    </r>
    <r>
      <rPr>
        <vertAlign val="subscript"/>
        <sz val="11"/>
        <color theme="1"/>
        <rFont val="Calibri"/>
        <family val="2"/>
      </rPr>
      <t>s min</t>
    </r>
    <r>
      <rPr>
        <sz val="11"/>
        <color theme="1"/>
        <rFont val="Calibri"/>
        <family val="2"/>
        <scheme val="minor"/>
      </rPr>
      <t xml:space="preserve"> - A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+ L</t>
    </r>
    <r>
      <rPr>
        <vertAlign val="subscript"/>
        <sz val="11"/>
        <color theme="1"/>
        <rFont val="Calibri"/>
        <family val="2"/>
        <scheme val="minor"/>
      </rPr>
      <t>f</t>
    </r>
  </si>
  <si>
    <r>
      <t>E</t>
    </r>
    <r>
      <rPr>
        <vertAlign val="subscript"/>
        <sz val="11"/>
        <color theme="1"/>
        <rFont val="Calibri"/>
        <family val="2"/>
        <scheme val="minor"/>
      </rPr>
      <t xml:space="preserve">min </t>
    </r>
    <r>
      <rPr>
        <sz val="11"/>
        <color theme="1"/>
        <rFont val="Calibri"/>
        <family val="2"/>
        <scheme val="minor"/>
      </rPr>
      <t>= ϕ</t>
    </r>
    <r>
      <rPr>
        <vertAlign val="subscript"/>
        <sz val="11"/>
        <color theme="1"/>
        <rFont val="Calibri"/>
        <family val="2"/>
      </rPr>
      <t>min</t>
    </r>
    <r>
      <rPr>
        <sz val="11"/>
        <color theme="1"/>
        <rFont val="Calibri"/>
        <family val="2"/>
        <scheme val="minor"/>
      </rPr>
      <t xml:space="preserve"> + 120 + 10 log(120</t>
    </r>
    <r>
      <rPr>
        <sz val="11"/>
        <color theme="1"/>
        <rFont val="Calibri"/>
        <family val="2"/>
      </rPr>
      <t xml:space="preserve"> π) = ϕ</t>
    </r>
    <r>
      <rPr>
        <vertAlign val="subscript"/>
        <sz val="11"/>
        <color theme="1"/>
        <rFont val="Calibri"/>
        <family val="2"/>
      </rPr>
      <t>min</t>
    </r>
    <r>
      <rPr>
        <sz val="11"/>
        <color theme="1"/>
        <rFont val="Calibri"/>
        <family val="2"/>
      </rPr>
      <t xml:space="preserve"> + 145.8</t>
    </r>
  </si>
  <si>
    <r>
      <t>E</t>
    </r>
    <r>
      <rPr>
        <vertAlign val="subscript"/>
        <sz val="11"/>
        <color theme="1"/>
        <rFont val="Calibri"/>
        <family val="2"/>
        <scheme val="minor"/>
      </rPr>
      <t>med</t>
    </r>
  </si>
  <si>
    <r>
      <t>E</t>
    </r>
    <r>
      <rPr>
        <vertAlign val="subscript"/>
        <sz val="11"/>
        <color theme="1"/>
        <rFont val="Calibri"/>
        <family val="2"/>
        <scheme val="minor"/>
      </rPr>
      <t xml:space="preserve">med </t>
    </r>
    <r>
      <rPr>
        <sz val="11"/>
        <color theme="1"/>
        <rFont val="Calibri"/>
        <family val="2"/>
        <scheme val="minor"/>
      </rPr>
      <t>= E</t>
    </r>
    <r>
      <rPr>
        <vertAlign val="subscript"/>
        <sz val="11"/>
        <color theme="1"/>
        <rFont val="Calibri"/>
        <family val="2"/>
      </rPr>
      <t>min</t>
    </r>
    <r>
      <rPr>
        <sz val="11"/>
        <color theme="1"/>
        <rFont val="Calibri"/>
        <family val="2"/>
        <scheme val="minor"/>
      </rPr>
      <t xml:space="preserve"> +</t>
    </r>
    <r>
      <rPr>
        <sz val="11"/>
        <color theme="1"/>
        <rFont val="Calibri"/>
        <family val="2"/>
      </rPr>
      <t xml:space="preserve"> P</t>
    </r>
    <r>
      <rPr>
        <vertAlign val="subscript"/>
        <sz val="11"/>
        <color theme="1"/>
        <rFont val="Calibri"/>
        <family val="2"/>
      </rPr>
      <t>mmn</t>
    </r>
    <r>
      <rPr>
        <sz val="11"/>
        <color theme="1"/>
        <rFont val="Calibri"/>
        <family val="2"/>
      </rPr>
      <t xml:space="preserve"> + C</t>
    </r>
    <r>
      <rPr>
        <vertAlign val="subscript"/>
        <sz val="11"/>
        <color theme="1"/>
        <rFont val="Calibri"/>
        <family val="2"/>
      </rPr>
      <t>1</t>
    </r>
    <r>
      <rPr>
        <sz val="11"/>
        <color theme="1"/>
        <rFont val="Calibri"/>
        <family val="2"/>
      </rPr>
      <t xml:space="preserve"> + L</t>
    </r>
    <r>
      <rPr>
        <vertAlign val="subscript"/>
        <sz val="11"/>
        <color theme="1"/>
        <rFont val="Calibri"/>
        <family val="2"/>
      </rPr>
      <t>h</t>
    </r>
    <r>
      <rPr>
        <sz val="11"/>
        <color theme="1"/>
        <rFont val="Calibri"/>
        <family val="2"/>
      </rPr>
      <t xml:space="preserve"> + L</t>
    </r>
    <r>
      <rPr>
        <vertAlign val="subscript"/>
        <sz val="11"/>
        <color theme="1"/>
        <rFont val="Calibri"/>
        <family val="2"/>
      </rPr>
      <t>b</t>
    </r>
  </si>
  <si>
    <r>
      <t>E</t>
    </r>
    <r>
      <rPr>
        <vertAlign val="subscript"/>
        <sz val="11"/>
        <color theme="1"/>
        <rFont val="Calibri"/>
        <family val="2"/>
        <scheme val="minor"/>
      </rPr>
      <t xml:space="preserve">med </t>
    </r>
    <r>
      <rPr>
        <sz val="11"/>
        <color theme="1"/>
        <rFont val="Calibri"/>
        <family val="2"/>
        <scheme val="minor"/>
      </rPr>
      <t>= E</t>
    </r>
    <r>
      <rPr>
        <vertAlign val="subscript"/>
        <sz val="11"/>
        <color theme="1"/>
        <rFont val="Calibri"/>
        <family val="2"/>
      </rPr>
      <t>min</t>
    </r>
    <r>
      <rPr>
        <sz val="11"/>
        <color theme="1"/>
        <rFont val="Calibri"/>
        <family val="2"/>
        <scheme val="minor"/>
      </rPr>
      <t xml:space="preserve"> +</t>
    </r>
    <r>
      <rPr>
        <sz val="11"/>
        <color theme="1"/>
        <rFont val="Calibri"/>
        <family val="2"/>
      </rPr>
      <t xml:space="preserve"> P</t>
    </r>
    <r>
      <rPr>
        <vertAlign val="subscript"/>
        <sz val="11"/>
        <color theme="1"/>
        <rFont val="Calibri"/>
        <family val="2"/>
      </rPr>
      <t>mmn</t>
    </r>
    <r>
      <rPr>
        <sz val="11"/>
        <color theme="1"/>
        <rFont val="Calibri"/>
        <family val="2"/>
      </rPr>
      <t xml:space="preserve"> + C</t>
    </r>
    <r>
      <rPr>
        <vertAlign val="subscript"/>
        <sz val="11"/>
        <color theme="1"/>
        <rFont val="Calibri"/>
        <family val="2"/>
      </rPr>
      <t>1</t>
    </r>
  </si>
  <si>
    <r>
      <t>E</t>
    </r>
    <r>
      <rPr>
        <vertAlign val="subscript"/>
        <sz val="11"/>
        <color theme="1"/>
        <rFont val="Calibri"/>
        <family val="2"/>
        <scheme val="minor"/>
      </rPr>
      <t xml:space="preserve">med </t>
    </r>
    <r>
      <rPr>
        <sz val="11"/>
        <color theme="1"/>
        <rFont val="Calibri"/>
        <family val="2"/>
        <scheme val="minor"/>
      </rPr>
      <t>= E</t>
    </r>
    <r>
      <rPr>
        <vertAlign val="subscript"/>
        <sz val="11"/>
        <color theme="1"/>
        <rFont val="Calibri"/>
        <family val="2"/>
      </rPr>
      <t>min</t>
    </r>
    <r>
      <rPr>
        <sz val="11"/>
        <color theme="1"/>
        <rFont val="Calibri"/>
        <family val="2"/>
        <scheme val="minor"/>
      </rPr>
      <t xml:space="preserve"> +</t>
    </r>
    <r>
      <rPr>
        <sz val="11"/>
        <color theme="1"/>
        <rFont val="Calibri"/>
        <family val="2"/>
      </rPr>
      <t xml:space="preserve"> P</t>
    </r>
    <r>
      <rPr>
        <vertAlign val="subscript"/>
        <sz val="11"/>
        <color theme="1"/>
        <rFont val="Calibri"/>
        <family val="2"/>
      </rPr>
      <t>mmn</t>
    </r>
    <r>
      <rPr>
        <sz val="11"/>
        <color theme="1"/>
        <rFont val="Calibri"/>
        <family val="2"/>
      </rPr>
      <t xml:space="preserve"> + C</t>
    </r>
    <r>
      <rPr>
        <vertAlign val="subscript"/>
        <sz val="11"/>
        <color theme="1"/>
        <rFont val="Calibri"/>
        <family val="2"/>
      </rPr>
      <t>1</t>
    </r>
    <r>
      <rPr>
        <sz val="11"/>
        <color theme="1"/>
        <rFont val="Calibri"/>
        <family val="2"/>
      </rPr>
      <t xml:space="preserve"> + L</t>
    </r>
    <r>
      <rPr>
        <vertAlign val="subscript"/>
        <sz val="11"/>
        <color theme="1"/>
        <rFont val="Calibri"/>
        <family val="2"/>
      </rPr>
      <t>h</t>
    </r>
  </si>
  <si>
    <r>
      <t>minimum median equivalent field strength (dB(</t>
    </r>
    <r>
      <rPr>
        <sz val="11"/>
        <color theme="1"/>
        <rFont val="Calibri"/>
        <family val="2"/>
      </rPr>
      <t>μ</t>
    </r>
    <r>
      <rPr>
        <sz val="11"/>
        <color theme="1"/>
        <rFont val="Calibri"/>
        <family val="2"/>
        <scheme val="minor"/>
      </rPr>
      <t>V/m)) for roof top level fixed reception</t>
    </r>
  </si>
  <si>
    <r>
      <t>C</t>
    </r>
    <r>
      <rPr>
        <vertAlign val="subscript"/>
        <sz val="11"/>
        <color theme="1"/>
        <rFont val="Calibri"/>
        <family val="2"/>
        <scheme val="minor"/>
      </rPr>
      <t>1</t>
    </r>
  </si>
  <si>
    <r>
      <rPr>
        <sz val="11"/>
        <color theme="1"/>
        <rFont val="Calibri"/>
        <family val="2"/>
      </rPr>
      <t>σ</t>
    </r>
    <r>
      <rPr>
        <vertAlign val="subscript"/>
        <sz val="11"/>
        <color theme="1"/>
        <rFont val="Calibri"/>
        <family val="2"/>
      </rPr>
      <t>t</t>
    </r>
  </si>
  <si>
    <t>location correction factor (dB)</t>
  </si>
  <si>
    <t>total standard deviation (dB)</t>
  </si>
  <si>
    <r>
      <t>R</t>
    </r>
    <r>
      <rPr>
        <vertAlign val="subscript"/>
        <sz val="11"/>
        <color theme="1"/>
        <rFont val="Calibri"/>
        <family val="2"/>
        <scheme val="minor"/>
      </rPr>
      <t>type</t>
    </r>
  </si>
  <si>
    <r>
      <t>M</t>
    </r>
    <r>
      <rPr>
        <vertAlign val="subscript"/>
        <sz val="11"/>
        <color theme="1"/>
        <rFont val="Calibri"/>
        <family val="2"/>
        <scheme val="minor"/>
      </rPr>
      <t>type</t>
    </r>
  </si>
  <si>
    <r>
      <t>C</t>
    </r>
    <r>
      <rPr>
        <vertAlign val="subscript"/>
        <sz val="11"/>
        <color theme="1"/>
        <rFont val="Calibri"/>
        <family val="2"/>
        <scheme val="minor"/>
      </rPr>
      <t>rate</t>
    </r>
  </si>
  <si>
    <t>C/N</t>
  </si>
  <si>
    <t>RF S/N at the receiver input required by the system (dB)</t>
  </si>
  <si>
    <t>F</t>
  </si>
  <si>
    <t>receiver noise figure (dB)</t>
  </si>
  <si>
    <t>Calculated (ref. Table 2, Rec. ITU-R BT.2033-2)</t>
  </si>
  <si>
    <t>Selectable (1/2, 3/5, 2/3, 3/4, 4/5, 5/6)</t>
  </si>
  <si>
    <t>Selectable (QPSK, 16-QAM, 64-QAM, 256-QAM)</t>
  </si>
  <si>
    <t>code rate</t>
  </si>
  <si>
    <t>type of reception</t>
  </si>
  <si>
    <t>type of modulation</t>
  </si>
  <si>
    <t>k</t>
  </si>
  <si>
    <t>Boltzmann’s constant</t>
  </si>
  <si>
    <t>absolute temperature</t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</si>
  <si>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</si>
  <si>
    <t>B</t>
  </si>
  <si>
    <t>receiver noise bandwidth</t>
  </si>
  <si>
    <r>
      <t xml:space="preserve">B = 7.61 </t>
    </r>
    <r>
      <rPr>
        <sz val="11"/>
        <color theme="1"/>
        <rFont val="Calibri"/>
        <family val="2"/>
      </rPr>
      <t>∙</t>
    </r>
    <r>
      <rPr>
        <sz val="11"/>
        <color theme="1"/>
        <rFont val="Calibri"/>
        <family val="2"/>
        <scheme val="minor"/>
      </rPr>
      <t>10</t>
    </r>
    <r>
      <rPr>
        <vertAlign val="super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 xml:space="preserve"> Hz</t>
    </r>
  </si>
  <si>
    <t>Formula or reference source</t>
  </si>
  <si>
    <t>G</t>
  </si>
  <si>
    <t>Selectable (fixed,  portable, handheld, mobile)</t>
  </si>
  <si>
    <t>antenna gain related to half dipole (dBd)</t>
  </si>
  <si>
    <t>Calculated (ref. ITU-R BT.2036-5 (Fixed), ITU-R BT.2033-2 (Portable, Hand-held, Mobile))</t>
  </si>
  <si>
    <t>f</t>
  </si>
  <si>
    <t>frequency (MHz)</t>
  </si>
  <si>
    <t>Band I (47-68 MHz), Band III (174-230 MHz), Band IV (470-582 MHz), Band V (582-862 MHz)</t>
  </si>
  <si>
    <t>ref. Table 3, Annex 1, Rec. ITU-R BT.2036-5 [Band I (7...10), Band III (6…10), Band IV/V (6…7)]</t>
  </si>
  <si>
    <r>
      <t>E</t>
    </r>
    <r>
      <rPr>
        <vertAlign val="subscript"/>
        <sz val="11"/>
        <color theme="1"/>
        <rFont val="Calibri"/>
        <family val="2"/>
        <scheme val="minor"/>
      </rPr>
      <t>type</t>
    </r>
  </si>
  <si>
    <t>type of environment</t>
  </si>
  <si>
    <t>64-QAM</t>
  </si>
  <si>
    <r>
      <t>H</t>
    </r>
    <r>
      <rPr>
        <vertAlign val="subscript"/>
        <sz val="11"/>
        <color theme="1"/>
        <rFont val="Calibri"/>
        <family val="2"/>
        <scheme val="minor"/>
      </rPr>
      <t>Rx</t>
    </r>
  </si>
  <si>
    <t>receiver antenna height (m)</t>
  </si>
  <si>
    <t>Calculated (ref. ITU-R BT.2036-5, Table 1)</t>
  </si>
  <si>
    <t>Selectable (urban, rural)</t>
  </si>
  <si>
    <t>antenna type of portable receiver</t>
  </si>
  <si>
    <r>
      <t>A</t>
    </r>
    <r>
      <rPr>
        <vertAlign val="subscript"/>
        <sz val="11"/>
        <color theme="1"/>
        <rFont val="Calibri"/>
        <family val="2"/>
        <scheme val="minor"/>
      </rPr>
      <t>type</t>
    </r>
  </si>
  <si>
    <t>Selectable (integrated or external). Mandatory only for portable type of reception</t>
  </si>
  <si>
    <t>feeder loss (dB)</t>
  </si>
  <si>
    <r>
      <t>L</t>
    </r>
    <r>
      <rPr>
        <vertAlign val="subscript"/>
        <sz val="11"/>
        <color theme="1"/>
        <rFont val="Calibri"/>
        <family val="2"/>
        <scheme val="minor"/>
      </rPr>
      <t>f</t>
    </r>
  </si>
  <si>
    <t>Calculated (ref. Rec. ITU-R BT.2033-2, Tables 31 and 32)</t>
  </si>
  <si>
    <t>rural</t>
  </si>
  <si>
    <t>external</t>
  </si>
  <si>
    <r>
      <t>P</t>
    </r>
    <r>
      <rPr>
        <vertAlign val="subscript"/>
        <sz val="11"/>
        <color theme="1"/>
        <rFont val="Calibri"/>
        <family val="2"/>
      </rPr>
      <t>mmn</t>
    </r>
  </si>
  <si>
    <t>allowance for man-made noise (dB)</t>
  </si>
  <si>
    <t>Calculated (ref. ITU-R BT.2036-5, Table 5)</t>
  </si>
  <si>
    <t>λ</t>
  </si>
  <si>
    <t>wavelength of the signal (m)</t>
  </si>
  <si>
    <t>Calculated based on frequency</t>
  </si>
  <si>
    <t>buildings type</t>
  </si>
  <si>
    <r>
      <t>B</t>
    </r>
    <r>
      <rPr>
        <vertAlign val="subscript"/>
        <sz val="11"/>
        <color theme="1"/>
        <rFont val="Calibri"/>
        <family val="2"/>
        <scheme val="minor"/>
      </rPr>
      <t>type</t>
    </r>
  </si>
  <si>
    <t>Selectable (high, medium, low). Ref: Rec. ITU-R BT.2033-2, Table 27. Only for portable indoor and handheld reception types</t>
  </si>
  <si>
    <t>building or vehicle entry loss (dB)</t>
  </si>
  <si>
    <r>
      <t>L</t>
    </r>
    <r>
      <rPr>
        <vertAlign val="subscript"/>
        <sz val="11"/>
        <color theme="1"/>
        <rFont val="Calibri"/>
        <family val="2"/>
      </rPr>
      <t>b</t>
    </r>
  </si>
  <si>
    <t>Calculated (ref. Rec. ITU-R BT.2033-2, Table 27)</t>
  </si>
  <si>
    <r>
      <t>L</t>
    </r>
    <r>
      <rPr>
        <vertAlign val="subscript"/>
        <sz val="11"/>
        <color theme="1"/>
        <rFont val="Calibri"/>
        <family val="2"/>
        <scheme val="minor"/>
      </rPr>
      <t>h</t>
    </r>
  </si>
  <si>
    <t>height loss (reception point at 1.5 m above ground level) (dB)</t>
  </si>
  <si>
    <t>Calculated (ref. Based on Ge06 Final Acts, Section 3.2.2.1)</t>
  </si>
  <si>
    <r>
      <t>A</t>
    </r>
    <r>
      <rPr>
        <vertAlign val="subscript"/>
        <sz val="11"/>
        <color theme="1"/>
        <rFont val="Calibri"/>
        <family val="2"/>
        <scheme val="minor"/>
      </rPr>
      <t xml:space="preserve">a </t>
    </r>
    <r>
      <rPr>
        <sz val="11"/>
        <color theme="1"/>
        <rFont val="Calibri"/>
        <family val="2"/>
        <scheme val="minor"/>
      </rPr>
      <t>= G + 10 log(1.64</t>
    </r>
    <r>
      <rPr>
        <sz val="11"/>
        <color theme="1"/>
        <rFont val="Calibri"/>
        <family val="2"/>
      </rPr>
      <t>λ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/(4π))</t>
    </r>
  </si>
  <si>
    <t>Reception type settings:</t>
  </si>
  <si>
    <t>Transmitter settings:</t>
  </si>
  <si>
    <t>Receiver settings:</t>
  </si>
  <si>
    <t>Required necessary field strength for DTV-T2</t>
  </si>
  <si>
    <r>
      <t>L</t>
    </r>
    <r>
      <rPr>
        <vertAlign val="subscript"/>
        <sz val="11"/>
        <color theme="1"/>
        <rFont val="Calibri"/>
        <family val="2"/>
        <scheme val="minor"/>
      </rPr>
      <t>prob</t>
    </r>
  </si>
  <si>
    <t>location probability percentage</t>
  </si>
  <si>
    <t>Constant (ref. to Ge06 Final Acts, Sec. A.3.5.1, p.231), but could be 70%, 90%, 95%, 99%)</t>
  </si>
  <si>
    <t>Calculated/derrived parameters from input data</t>
  </si>
  <si>
    <t>μ</t>
  </si>
  <si>
    <t>distribution factor</t>
  </si>
  <si>
    <t>being 0.52 for 70%, 1.28 for 90%, 1.64 for 95% and 2.33 for 99%.</t>
  </si>
  <si>
    <r>
      <t>σ</t>
    </r>
    <r>
      <rPr>
        <vertAlign val="subscript"/>
        <sz val="11"/>
        <color theme="1"/>
        <rFont val="Calibri"/>
        <family val="2"/>
      </rPr>
      <t>b</t>
    </r>
  </si>
  <si>
    <r>
      <t>σ</t>
    </r>
    <r>
      <rPr>
        <vertAlign val="subscript"/>
        <sz val="11"/>
        <color theme="1"/>
        <rFont val="Calibri"/>
        <family val="2"/>
      </rPr>
      <t>m</t>
    </r>
  </si>
  <si>
    <t xml:space="preserve">standard deviation </t>
  </si>
  <si>
    <r>
      <t>Constant for macro-scale (</t>
    </r>
    <r>
      <rPr>
        <sz val="11"/>
        <color theme="1"/>
        <rFont val="Calibri"/>
        <family val="2"/>
      </rPr>
      <t>σ</t>
    </r>
    <r>
      <rPr>
        <vertAlign val="subscript"/>
        <sz val="11"/>
        <color theme="1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 xml:space="preserve"> = 5.5 (dB)) (ref. Rec. ITU-R BT.2033-2, Attachment 1, Annex 1)</t>
    </r>
  </si>
  <si>
    <r>
      <rPr>
        <sz val="11"/>
        <color theme="1"/>
        <rFont val="Calibri"/>
        <family val="2"/>
      </rPr>
      <t>σ</t>
    </r>
    <r>
      <rPr>
        <vertAlign val="subscript"/>
        <sz val="11"/>
        <color theme="1"/>
        <rFont val="Calibri"/>
        <family val="2"/>
        <scheme val="minor"/>
      </rPr>
      <t xml:space="preserve">t </t>
    </r>
    <r>
      <rPr>
        <sz val="11"/>
        <color theme="1"/>
        <rFont val="Calibri"/>
        <family val="2"/>
        <scheme val="minor"/>
      </rPr>
      <t>= SQRT(</t>
    </r>
    <r>
      <rPr>
        <sz val="11"/>
        <color theme="1"/>
        <rFont val="Calibri"/>
        <family val="2"/>
      </rPr>
      <t>σ</t>
    </r>
    <r>
      <rPr>
        <vertAlign val="subscript"/>
        <sz val="11"/>
        <color theme="1"/>
        <rFont val="Calibri"/>
        <family val="2"/>
      </rPr>
      <t>b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  <scheme val="minor"/>
      </rPr>
      <t xml:space="preserve"> + </t>
    </r>
    <r>
      <rPr>
        <sz val="11"/>
        <color theme="1"/>
        <rFont val="Calibri"/>
        <family val="2"/>
      </rPr>
      <t>σ</t>
    </r>
    <r>
      <rPr>
        <vertAlign val="subscript"/>
        <sz val="11"/>
        <color theme="1"/>
        <rFont val="Calibri"/>
        <family val="2"/>
      </rPr>
      <t>m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)</t>
    </r>
  </si>
  <si>
    <t>Calculation of required field strengths</t>
  </si>
  <si>
    <r>
      <t>Constant: k = 1.38</t>
    </r>
    <r>
      <rPr>
        <sz val="11"/>
        <color theme="1"/>
        <rFont val="Calibri"/>
        <family val="2"/>
      </rPr>
      <t>∙</t>
    </r>
    <r>
      <rPr>
        <sz val="11"/>
        <color theme="1"/>
        <rFont val="Calibri"/>
        <family val="2"/>
        <scheme val="minor"/>
      </rPr>
      <t>10</t>
    </r>
    <r>
      <rPr>
        <vertAlign val="superscript"/>
        <sz val="11"/>
        <color theme="1"/>
        <rFont val="Calibri"/>
        <family val="2"/>
        <scheme val="minor"/>
      </rPr>
      <t>–23</t>
    </r>
    <r>
      <rPr>
        <sz val="11"/>
        <color theme="1"/>
        <rFont val="Calibri"/>
        <family val="2"/>
        <scheme val="minor"/>
      </rPr>
      <t xml:space="preserve"> J/K</t>
    </r>
  </si>
  <si>
    <r>
      <t>Constant: 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= 290 K</t>
    </r>
  </si>
  <si>
    <t>standard deviation building or vehicle entry loss (dB)</t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</si>
  <si>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1 </t>
    </r>
    <r>
      <rPr>
        <sz val="11"/>
        <color theme="1"/>
        <rFont val="Calibri"/>
        <family val="2"/>
        <scheme val="minor"/>
      </rPr>
      <t xml:space="preserve">= </t>
    </r>
    <r>
      <rPr>
        <sz val="11"/>
        <color theme="1"/>
        <rFont val="Calibri"/>
        <family val="2"/>
      </rPr>
      <t>μ ∙ σ</t>
    </r>
    <r>
      <rPr>
        <vertAlign val="subscript"/>
        <sz val="11"/>
        <color theme="1"/>
        <rFont val="Calibri"/>
        <family val="2"/>
      </rPr>
      <t>t</t>
    </r>
  </si>
  <si>
    <r>
      <t>OI</t>
    </r>
    <r>
      <rPr>
        <vertAlign val="subscript"/>
        <sz val="11"/>
        <color theme="1"/>
        <rFont val="Calibri"/>
        <family val="2"/>
        <scheme val="minor"/>
      </rPr>
      <t>type</t>
    </r>
  </si>
  <si>
    <t>Indoor/Outdoor requirements</t>
  </si>
  <si>
    <t>Selectable (indoor, outdoor). Required only for portable, handheld types</t>
  </si>
  <si>
    <t>outdoor</t>
  </si>
  <si>
    <r>
      <t>minimum median equivalent field strength (dB(</t>
    </r>
    <r>
      <rPr>
        <sz val="11"/>
        <color theme="1"/>
        <rFont val="Calibri"/>
        <family val="2"/>
      </rPr>
      <t>μ</t>
    </r>
    <r>
      <rPr>
        <sz val="11"/>
        <color theme="1"/>
        <rFont val="Calibri"/>
        <family val="2"/>
        <scheme val="minor"/>
      </rPr>
      <t>V/m)) @10 m a.g.l. for portable outdoor &amp; mobile reception</t>
    </r>
  </si>
  <si>
    <r>
      <t>minimum median equivalent field strength (dB(</t>
    </r>
    <r>
      <rPr>
        <sz val="11"/>
        <color theme="1"/>
        <rFont val="Calibri"/>
        <family val="2"/>
      </rPr>
      <t>μ</t>
    </r>
    <r>
      <rPr>
        <sz val="11"/>
        <color theme="1"/>
        <rFont val="Calibri"/>
        <family val="2"/>
        <scheme val="minor"/>
      </rPr>
      <t>V/m)) @10 m a.g.l. for portable indoor &amp; mobile hand-held reception</t>
    </r>
  </si>
  <si>
    <t>Value for autocalc</t>
  </si>
  <si>
    <t>Experimenting</t>
  </si>
  <si>
    <t>portable</t>
  </si>
  <si>
    <t>low</t>
  </si>
  <si>
    <t>2/3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</si>
</sst>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b/>
      <sz val="16"/>
      <color rgb="FFFF0000"/>
      <name val="Calibri"/>
      <family val="2"/>
      <scheme val="minor"/>
    </font>
    <font>
      <i/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0" applyFont="1" applyAlignment="1">
      <alignment vertical="center"/>
    </xf>
    <xf numFmtId="0" fontId="0" fillId="0" borderId="0" xfId="0" applyFont="1"/>
    <xf numFmtId="0" fontId="0" fillId="0" borderId="0" xfId="0" applyFont="1" applyAlignment="1">
      <alignment vertical="center" wrapText="1"/>
    </xf>
    <xf numFmtId="0" fontId="7" fillId="0" borderId="0" xfId="0" applyFont="1"/>
    <xf numFmtId="0" fontId="8" fillId="0" borderId="0" xfId="0" applyFont="1"/>
    <xf numFmtId="0" fontId="0" fillId="0" borderId="0" xfId="0" applyNumberFormat="1"/>
    <xf numFmtId="0" fontId="0" fillId="0" borderId="0" xfId="0" applyNumberFormat="1" applyAlignment="1">
      <alignment vertical="center"/>
    </xf>
    <xf numFmtId="0" fontId="1" fillId="0" borderId="0" xfId="0" applyNumberFormat="1" applyFont="1"/>
    <xf numFmtId="0" fontId="1" fillId="0" borderId="0" xfId="0" applyNumberFormat="1" applyFont="1" applyAlignment="1">
      <alignment vertical="center"/>
    </xf>
    <xf numFmtId="0" fontId="0" fillId="2" borderId="1" xfId="0" applyNumberFormat="1" applyFill="1" applyBorder="1" applyAlignment="1">
      <alignment vertical="center"/>
    </xf>
    <xf numFmtId="0" fontId="0" fillId="2" borderId="1" xfId="0" applyNumberFormat="1" applyFont="1" applyFill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2" borderId="1" xfId="0" quotePrefix="1" applyNumberFormat="1" applyFill="1" applyBorder="1" applyAlignment="1">
      <alignment vertical="center"/>
    </xf>
    <xf numFmtId="11" fontId="0" fillId="2" borderId="1" xfId="0" applyNumberFormat="1" applyFill="1" applyBorder="1" applyAlignment="1">
      <alignment vertical="center"/>
    </xf>
    <xf numFmtId="11" fontId="0" fillId="2" borderId="1" xfId="0" applyNumberFormat="1" applyFont="1" applyFill="1" applyBorder="1" applyAlignment="1">
      <alignment vertical="center"/>
    </xf>
    <xf numFmtId="2" fontId="0" fillId="2" borderId="1" xfId="0" applyNumberFormat="1" applyFill="1" applyBorder="1" applyAlignment="1">
      <alignment vertical="center"/>
    </xf>
    <xf numFmtId="2" fontId="0" fillId="2" borderId="1" xfId="0" applyNumberFormat="1" applyFont="1" applyFill="1" applyBorder="1" applyAlignment="1">
      <alignment vertical="center"/>
    </xf>
    <xf numFmtId="2" fontId="0" fillId="0" borderId="1" xfId="0" applyNumberFormat="1" applyFill="1" applyBorder="1" applyAlignment="1">
      <alignment vertical="center"/>
    </xf>
    <xf numFmtId="2" fontId="0" fillId="0" borderId="1" xfId="0" applyNumberFormat="1" applyFont="1" applyBorder="1" applyAlignment="1">
      <alignment vertical="center"/>
    </xf>
    <xf numFmtId="2" fontId="0" fillId="0" borderId="1" xfId="0" applyNumberFormat="1" applyBorder="1" applyAlignment="1">
      <alignment vertical="center"/>
    </xf>
    <xf numFmtId="2" fontId="0" fillId="5" borderId="1" xfId="0" applyNumberFormat="1" applyFont="1" applyFill="1" applyBorder="1" applyAlignment="1">
      <alignment vertical="center"/>
    </xf>
    <xf numFmtId="2" fontId="0" fillId="0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0" fontId="0" fillId="0" borderId="1" xfId="0" applyNumberFormat="1" applyBorder="1"/>
    <xf numFmtId="0" fontId="0" fillId="5" borderId="1" xfId="0" applyNumberFormat="1" applyFill="1" applyBorder="1" applyAlignment="1">
      <alignment vertical="center"/>
    </xf>
    <xf numFmtId="2" fontId="0" fillId="4" borderId="1" xfId="0" applyNumberFormat="1" applyFill="1" applyBorder="1" applyAlignment="1">
      <alignment vertical="center"/>
    </xf>
    <xf numFmtId="2" fontId="0" fillId="3" borderId="1" xfId="0" applyNumberForma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60665-8605-462D-8680-30B77CCC2DAB}">
  <sheetPr codeName="Sheet1"/>
  <dimension ref="A1:F60"/>
  <sheetViews>
    <sheetView tabSelected="1" topLeftCell="A22" workbookViewId="0">
      <selection activeCell="F41" sqref="F41"/>
    </sheetView>
  </sheetViews>
  <sheetFormatPr defaultRowHeight="15" x14ac:dyDescent="0.25"/>
  <cols>
    <col min="1" max="1" width="4.5703125" customWidth="1"/>
    <col min="2" max="2" width="8.5703125" customWidth="1"/>
    <col min="3" max="3" width="46.28515625" style="2" customWidth="1"/>
    <col min="4" max="4" width="41.42578125" bestFit="1" customWidth="1"/>
    <col min="5" max="5" width="17.7109375" style="11" customWidth="1"/>
    <col min="6" max="6" width="17.7109375" style="12" customWidth="1"/>
  </cols>
  <sheetData>
    <row r="1" spans="1:6" ht="21" x14ac:dyDescent="0.35">
      <c r="A1" s="9" t="s">
        <v>88</v>
      </c>
      <c r="B1" s="1"/>
    </row>
    <row r="3" spans="1:6" x14ac:dyDescent="0.25">
      <c r="B3" s="1" t="s">
        <v>1</v>
      </c>
      <c r="C3" s="3" t="s">
        <v>2</v>
      </c>
      <c r="D3" s="1" t="s">
        <v>45</v>
      </c>
      <c r="E3" s="13" t="s">
        <v>112</v>
      </c>
      <c r="F3" s="14" t="s">
        <v>113</v>
      </c>
    </row>
    <row r="4" spans="1:6" x14ac:dyDescent="0.25">
      <c r="A4" s="10" t="s">
        <v>85</v>
      </c>
      <c r="B4" s="1"/>
      <c r="C4" s="3"/>
      <c r="D4" s="1"/>
      <c r="E4" s="13"/>
    </row>
    <row r="5" spans="1:6" s="7" customFormat="1" ht="45" x14ac:dyDescent="0.25">
      <c r="B5" s="4" t="s">
        <v>50</v>
      </c>
      <c r="C5" s="5" t="s">
        <v>51</v>
      </c>
      <c r="D5" s="5" t="s">
        <v>52</v>
      </c>
      <c r="E5" s="15">
        <v>650</v>
      </c>
      <c r="F5" s="16">
        <v>650</v>
      </c>
    </row>
    <row r="6" spans="1:6" s="7" customFormat="1" ht="30" x14ac:dyDescent="0.25">
      <c r="B6" s="4" t="s">
        <v>25</v>
      </c>
      <c r="C6" s="5" t="s">
        <v>36</v>
      </c>
      <c r="D6" s="5" t="s">
        <v>47</v>
      </c>
      <c r="E6" s="15" t="s">
        <v>114</v>
      </c>
      <c r="F6" s="17"/>
    </row>
    <row r="7" spans="1:6" s="7" customFormat="1" ht="30" x14ac:dyDescent="0.25">
      <c r="B7" s="4" t="s">
        <v>106</v>
      </c>
      <c r="C7" s="5" t="s">
        <v>107</v>
      </c>
      <c r="D7" s="5" t="s">
        <v>108</v>
      </c>
      <c r="E7" s="15" t="s">
        <v>109</v>
      </c>
      <c r="F7" s="17"/>
    </row>
    <row r="8" spans="1:6" s="7" customFormat="1" ht="45" x14ac:dyDescent="0.25">
      <c r="B8" s="4" t="s">
        <v>89</v>
      </c>
      <c r="C8" s="5" t="s">
        <v>90</v>
      </c>
      <c r="D8" s="5" t="s">
        <v>91</v>
      </c>
      <c r="E8" s="15">
        <v>70</v>
      </c>
      <c r="F8" s="17"/>
    </row>
    <row r="9" spans="1:6" ht="45" x14ac:dyDescent="0.25">
      <c r="B9" s="4" t="s">
        <v>62</v>
      </c>
      <c r="C9" s="5" t="s">
        <v>61</v>
      </c>
      <c r="D9" s="5" t="s">
        <v>63</v>
      </c>
      <c r="E9" s="15" t="s">
        <v>68</v>
      </c>
      <c r="F9" s="18"/>
    </row>
    <row r="10" spans="1:6" ht="18" x14ac:dyDescent="0.25">
      <c r="B10" s="4" t="s">
        <v>54</v>
      </c>
      <c r="C10" s="5" t="s">
        <v>55</v>
      </c>
      <c r="D10" s="5" t="s">
        <v>60</v>
      </c>
      <c r="E10" s="15" t="s">
        <v>67</v>
      </c>
      <c r="F10" s="18"/>
    </row>
    <row r="11" spans="1:6" ht="45" x14ac:dyDescent="0.25">
      <c r="B11" s="4" t="s">
        <v>76</v>
      </c>
      <c r="C11" s="5" t="s">
        <v>75</v>
      </c>
      <c r="D11" s="5" t="s">
        <v>77</v>
      </c>
      <c r="E11" s="15" t="s">
        <v>115</v>
      </c>
      <c r="F11" s="18"/>
    </row>
    <row r="12" spans="1:6" x14ac:dyDescent="0.25">
      <c r="A12" s="10" t="s">
        <v>86</v>
      </c>
      <c r="B12" s="4"/>
      <c r="C12" s="5"/>
      <c r="D12" s="5"/>
      <c r="E12" s="15"/>
      <c r="F12" s="18"/>
    </row>
    <row r="13" spans="1:6" s="7" customFormat="1" ht="30" x14ac:dyDescent="0.25">
      <c r="B13" s="4" t="s">
        <v>26</v>
      </c>
      <c r="C13" s="5" t="s">
        <v>37</v>
      </c>
      <c r="D13" s="5" t="s">
        <v>34</v>
      </c>
      <c r="E13" s="15" t="s">
        <v>56</v>
      </c>
      <c r="F13" s="17"/>
    </row>
    <row r="14" spans="1:6" s="7" customFormat="1" ht="18" x14ac:dyDescent="0.25">
      <c r="B14" s="4" t="s">
        <v>27</v>
      </c>
      <c r="C14" s="5" t="s">
        <v>35</v>
      </c>
      <c r="D14" s="5" t="s">
        <v>33</v>
      </c>
      <c r="E14" s="19" t="s">
        <v>116</v>
      </c>
      <c r="F14" s="17"/>
    </row>
    <row r="15" spans="1:6" s="7" customFormat="1" x14ac:dyDescent="0.25">
      <c r="A15" s="10" t="s">
        <v>87</v>
      </c>
      <c r="B15" s="4"/>
      <c r="C15" s="5"/>
      <c r="D15" s="5"/>
      <c r="E15" s="19"/>
      <c r="F15" s="17"/>
    </row>
    <row r="16" spans="1:6" s="7" customFormat="1" ht="17.25" x14ac:dyDescent="0.25">
      <c r="B16" s="4" t="s">
        <v>42</v>
      </c>
      <c r="C16" s="5" t="s">
        <v>43</v>
      </c>
      <c r="D16" s="5" t="s">
        <v>44</v>
      </c>
      <c r="E16" s="20">
        <v>7700000</v>
      </c>
      <c r="F16" s="21">
        <v>7700000</v>
      </c>
    </row>
    <row r="17" spans="1:6" s="7" customFormat="1" ht="45" x14ac:dyDescent="0.25">
      <c r="B17" s="4" t="s">
        <v>30</v>
      </c>
      <c r="C17" s="5" t="s">
        <v>31</v>
      </c>
      <c r="D17" s="5" t="s">
        <v>53</v>
      </c>
      <c r="E17" s="22">
        <v>6</v>
      </c>
      <c r="F17" s="23">
        <v>6</v>
      </c>
    </row>
    <row r="18" spans="1:6" s="7" customFormat="1" x14ac:dyDescent="0.25">
      <c r="A18" s="10" t="s">
        <v>92</v>
      </c>
      <c r="B18" s="4"/>
      <c r="C18" s="5"/>
      <c r="D18" s="5"/>
      <c r="E18" s="24"/>
      <c r="F18" s="25"/>
    </row>
    <row r="19" spans="1:6" s="7" customFormat="1" ht="30" x14ac:dyDescent="0.25">
      <c r="B19" s="4" t="s">
        <v>28</v>
      </c>
      <c r="C19" s="5" t="s">
        <v>29</v>
      </c>
      <c r="D19" s="5" t="s">
        <v>32</v>
      </c>
      <c r="E19" s="26" cm="1">
        <f t="array" ref="E19">DVB_T2_PR(E6,E13,E14)</f>
        <v>17.2</v>
      </c>
      <c r="F19" s="23">
        <v>17.899999999999999</v>
      </c>
    </row>
    <row r="20" spans="1:6" s="7" customFormat="1" x14ac:dyDescent="0.25">
      <c r="B20" s="6" t="s">
        <v>72</v>
      </c>
      <c r="C20" s="5" t="s">
        <v>73</v>
      </c>
      <c r="D20" s="5" t="s">
        <v>74</v>
      </c>
      <c r="E20" s="24" cm="1">
        <f t="array" ref="E20">Wavelength(E5)</f>
        <v>0.46121916615384617</v>
      </c>
      <c r="F20" s="27" cm="1">
        <f t="array" ref="F20">Wavelength(F5)</f>
        <v>0.46121916615384617</v>
      </c>
    </row>
    <row r="21" spans="1:6" s="7" customFormat="1" ht="30" x14ac:dyDescent="0.25">
      <c r="B21" s="4" t="s">
        <v>46</v>
      </c>
      <c r="C21" s="5" t="s">
        <v>48</v>
      </c>
      <c r="D21" s="5" t="s">
        <v>49</v>
      </c>
      <c r="E21" s="26" cm="1">
        <f t="array" ref="E21">DVB_T2_Ant_Gain(E6,E5)</f>
        <v>0</v>
      </c>
      <c r="F21" s="23">
        <v>0</v>
      </c>
    </row>
    <row r="22" spans="1:6" s="7" customFormat="1" ht="18" x14ac:dyDescent="0.25">
      <c r="B22" s="4" t="s">
        <v>57</v>
      </c>
      <c r="C22" s="5" t="s">
        <v>58</v>
      </c>
      <c r="D22" s="5" t="s">
        <v>59</v>
      </c>
      <c r="E22" s="24" cm="1">
        <f t="array" ref="E22">DVB_T2_Rx_Height(E6)</f>
        <v>1.5</v>
      </c>
      <c r="F22" s="28"/>
    </row>
    <row r="23" spans="1:6" s="7" customFormat="1" ht="18" x14ac:dyDescent="0.25">
      <c r="B23" s="4" t="s">
        <v>65</v>
      </c>
      <c r="C23" s="5" t="s">
        <v>64</v>
      </c>
      <c r="D23" s="5" t="s">
        <v>71</v>
      </c>
      <c r="E23" s="24" cm="1">
        <f t="array" ref="E23">DVB_T2_Feeder_Loss(E6,E5)</f>
        <v>0</v>
      </c>
      <c r="F23" s="23">
        <v>0</v>
      </c>
    </row>
    <row r="24" spans="1:6" s="7" customFormat="1" ht="30" x14ac:dyDescent="0.25">
      <c r="B24" s="6" t="s">
        <v>93</v>
      </c>
      <c r="C24" s="5" t="s">
        <v>94</v>
      </c>
      <c r="D24" s="5" t="s">
        <v>95</v>
      </c>
      <c r="E24" s="26" cm="1">
        <f t="array" ref="E24">Dist_factor(E8)</f>
        <v>0.52</v>
      </c>
      <c r="F24" s="23">
        <v>0.52439999999999998</v>
      </c>
    </row>
    <row r="25" spans="1:6" s="7" customFormat="1" ht="30" x14ac:dyDescent="0.25">
      <c r="B25" s="6" t="s">
        <v>96</v>
      </c>
      <c r="C25" s="8" t="s">
        <v>104</v>
      </c>
      <c r="D25" s="5" t="s">
        <v>80</v>
      </c>
      <c r="E25" s="24" cm="1">
        <f t="array" ref="E25">UHF_BuildingEntryLoss(E6,E7,E11, "std")</f>
        <v>0</v>
      </c>
      <c r="F25" s="23">
        <v>0</v>
      </c>
    </row>
    <row r="26" spans="1:6" s="7" customFormat="1" ht="33" x14ac:dyDescent="0.25">
      <c r="B26" s="6" t="s">
        <v>97</v>
      </c>
      <c r="C26" s="5" t="s">
        <v>98</v>
      </c>
      <c r="D26" s="5" t="s">
        <v>99</v>
      </c>
      <c r="E26" s="26">
        <v>5.5</v>
      </c>
      <c r="F26" s="23">
        <v>5.5</v>
      </c>
    </row>
    <row r="27" spans="1:6" s="4" customFormat="1" ht="18" x14ac:dyDescent="0.25">
      <c r="B27" s="6" t="s">
        <v>22</v>
      </c>
      <c r="C27" s="5" t="s">
        <v>24</v>
      </c>
      <c r="D27" s="4" t="s">
        <v>100</v>
      </c>
      <c r="E27" s="26">
        <f>SQRT(E25^2+E26^2)</f>
        <v>5.5</v>
      </c>
      <c r="F27" s="29">
        <f>SQRT(F25^2+F26^2)</f>
        <v>5.5</v>
      </c>
    </row>
    <row r="28" spans="1:6" s="4" customFormat="1" ht="18" x14ac:dyDescent="0.25">
      <c r="B28" s="4" t="s">
        <v>21</v>
      </c>
      <c r="C28" s="5" t="s">
        <v>23</v>
      </c>
      <c r="D28" s="4" t="s">
        <v>105</v>
      </c>
      <c r="E28" s="26">
        <f>E24*E27</f>
        <v>2.8600000000000003</v>
      </c>
      <c r="F28" s="29">
        <f>F24*F27</f>
        <v>2.8841999999999999</v>
      </c>
    </row>
    <row r="29" spans="1:6" s="7" customFormat="1" ht="30" x14ac:dyDescent="0.25">
      <c r="B29" s="4" t="s">
        <v>81</v>
      </c>
      <c r="C29" s="8" t="s">
        <v>82</v>
      </c>
      <c r="D29" s="5" t="s">
        <v>83</v>
      </c>
      <c r="E29" s="24" cm="1">
        <f t="array" ref="E29">HeightLoss(E6,E5)</f>
        <v>16.918367346938776</v>
      </c>
      <c r="F29" s="23">
        <v>0</v>
      </c>
    </row>
    <row r="30" spans="1:6" s="7" customFormat="1" ht="30" x14ac:dyDescent="0.25">
      <c r="B30" s="6" t="s">
        <v>79</v>
      </c>
      <c r="C30" s="8" t="s">
        <v>78</v>
      </c>
      <c r="D30" s="5" t="s">
        <v>80</v>
      </c>
      <c r="E30" s="24" cm="1">
        <f t="array" ref="E30">UHF_BuildingEntryLoss(E6,E7,E11, "mean")</f>
        <v>0</v>
      </c>
      <c r="F30" s="23">
        <v>11</v>
      </c>
    </row>
    <row r="31" spans="1:6" s="7" customFormat="1" ht="30" x14ac:dyDescent="0.25">
      <c r="B31" s="6" t="s">
        <v>69</v>
      </c>
      <c r="C31" s="8" t="s">
        <v>70</v>
      </c>
      <c r="D31" s="5" t="s">
        <v>66</v>
      </c>
      <c r="E31" s="24" cm="1">
        <f t="array" ref="E31">DVB_T2_ManMadeNoise(E10,E6,E9,E5)</f>
        <v>0</v>
      </c>
      <c r="F31" s="23">
        <v>1</v>
      </c>
    </row>
    <row r="32" spans="1:6" x14ac:dyDescent="0.25">
      <c r="A32" s="10" t="s">
        <v>101</v>
      </c>
      <c r="E32" s="30"/>
      <c r="F32" s="18"/>
    </row>
    <row r="33" spans="2:6" s="7" customFormat="1" ht="17.25" x14ac:dyDescent="0.25">
      <c r="B33" s="4" t="s">
        <v>38</v>
      </c>
      <c r="C33" s="5" t="s">
        <v>39</v>
      </c>
      <c r="D33" s="5" t="s">
        <v>102</v>
      </c>
      <c r="E33" s="18">
        <v>1.3800000000000001E-23</v>
      </c>
      <c r="F33" s="31">
        <v>1.3800000000000001E-23</v>
      </c>
    </row>
    <row r="34" spans="2:6" s="7" customFormat="1" ht="18" x14ac:dyDescent="0.25">
      <c r="B34" s="5" t="s">
        <v>41</v>
      </c>
      <c r="C34" s="5" t="s">
        <v>40</v>
      </c>
      <c r="D34" s="5" t="s">
        <v>103</v>
      </c>
      <c r="E34" s="18">
        <v>290</v>
      </c>
      <c r="F34" s="31">
        <v>290</v>
      </c>
    </row>
    <row r="35" spans="2:6" s="4" customFormat="1" ht="18" x14ac:dyDescent="0.25">
      <c r="B35" s="4" t="s">
        <v>3</v>
      </c>
      <c r="C35" s="5" t="s">
        <v>0</v>
      </c>
      <c r="D35" s="4" t="s">
        <v>13</v>
      </c>
      <c r="E35" s="26">
        <f>E17+10*LOG10(E33*E34*E16)</f>
        <v>-129.11232190527326</v>
      </c>
      <c r="F35" s="29">
        <f>F17+10*LOG10(F33*F34*F16)</f>
        <v>-129.11232190527326</v>
      </c>
    </row>
    <row r="36" spans="2:6" s="4" customFormat="1" ht="18" x14ac:dyDescent="0.25">
      <c r="B36" s="4" t="s">
        <v>4</v>
      </c>
      <c r="C36" s="5" t="s">
        <v>6</v>
      </c>
      <c r="D36" s="4" t="s">
        <v>5</v>
      </c>
      <c r="E36" s="26">
        <f>E19+E35</f>
        <v>-111.91232190527326</v>
      </c>
      <c r="F36" s="29">
        <f>F19+F35</f>
        <v>-111.21232190527326</v>
      </c>
    </row>
    <row r="37" spans="2:6" s="4" customFormat="1" ht="18" x14ac:dyDescent="0.25">
      <c r="B37" s="4" t="s">
        <v>7</v>
      </c>
      <c r="C37" s="5" t="s">
        <v>8</v>
      </c>
      <c r="D37" s="4" t="s">
        <v>84</v>
      </c>
      <c r="E37" s="26">
        <f>E21+10*LOG10(1.64*E20*E20/(4*PI()))</f>
        <v>-15.565513234042543</v>
      </c>
      <c r="F37" s="29">
        <f>F21+10*LOG10(1.64*F20*F20/(4*PI()))</f>
        <v>-15.565513234042543</v>
      </c>
    </row>
    <row r="38" spans="2:6" s="4" customFormat="1" ht="18" x14ac:dyDescent="0.25">
      <c r="B38" s="4" t="s">
        <v>10</v>
      </c>
      <c r="C38" s="5" t="s">
        <v>11</v>
      </c>
      <c r="D38" s="4" t="s">
        <v>14</v>
      </c>
      <c r="E38" s="26">
        <f>E36-E37+E23</f>
        <v>-96.346808671230718</v>
      </c>
      <c r="F38" s="29">
        <f>F36-F37+F23</f>
        <v>-95.646808671230716</v>
      </c>
    </row>
    <row r="39" spans="2:6" s="4" customFormat="1" ht="30" x14ac:dyDescent="0.25">
      <c r="B39" s="4" t="s">
        <v>9</v>
      </c>
      <c r="C39" s="5" t="s">
        <v>12</v>
      </c>
      <c r="D39" s="4" t="s">
        <v>15</v>
      </c>
      <c r="E39" s="32">
        <f>E38+145.8</f>
        <v>49.453191328769293</v>
      </c>
      <c r="F39" s="29">
        <f>F38+145.8</f>
        <v>50.153191328769296</v>
      </c>
    </row>
    <row r="40" spans="2:6" s="4" customFormat="1" ht="30" x14ac:dyDescent="0.25">
      <c r="B40" s="4" t="s">
        <v>16</v>
      </c>
      <c r="C40" s="5" t="s">
        <v>20</v>
      </c>
      <c r="D40" s="4" t="s">
        <v>18</v>
      </c>
      <c r="E40" s="33">
        <f>E39+E31+E28</f>
        <v>52.313191328769292</v>
      </c>
      <c r="F40" s="29">
        <f>F39+F31+F28</f>
        <v>54.037391328769296</v>
      </c>
    </row>
    <row r="41" spans="2:6" s="4" customFormat="1" ht="45" x14ac:dyDescent="0.25">
      <c r="B41" s="4" t="s">
        <v>16</v>
      </c>
      <c r="C41" s="5" t="s">
        <v>110</v>
      </c>
      <c r="D41" s="4" t="s">
        <v>19</v>
      </c>
      <c r="E41" s="33">
        <f>E39+E31+E28+E29</f>
        <v>69.231558675708072</v>
      </c>
      <c r="F41" s="29">
        <f>F39+F31+F28+F29</f>
        <v>54.037391328769296</v>
      </c>
    </row>
    <row r="42" spans="2:6" s="4" customFormat="1" ht="45" x14ac:dyDescent="0.25">
      <c r="B42" s="4" t="s">
        <v>16</v>
      </c>
      <c r="C42" s="5" t="s">
        <v>111</v>
      </c>
      <c r="D42" s="4" t="s">
        <v>17</v>
      </c>
      <c r="E42" s="33">
        <f>E39+E31+E28+E29+E30</f>
        <v>69.231558675708072</v>
      </c>
      <c r="F42" s="29">
        <f>F39+F31+F28+F29+F30</f>
        <v>65.037391328769303</v>
      </c>
    </row>
    <row r="45" spans="2:6" s="4" customFormat="1" x14ac:dyDescent="0.25">
      <c r="C45" s="5"/>
      <c r="E45" s="12"/>
      <c r="F45" s="12"/>
    </row>
    <row r="46" spans="2:6" s="4" customFormat="1" x14ac:dyDescent="0.25">
      <c r="C46" s="5"/>
      <c r="E46" s="12"/>
      <c r="F46" s="12"/>
    </row>
    <row r="47" spans="2:6" s="4" customFormat="1" x14ac:dyDescent="0.25">
      <c r="C47" s="5"/>
      <c r="E47" s="12"/>
      <c r="F47" s="12"/>
    </row>
    <row r="48" spans="2:6" s="4" customFormat="1" x14ac:dyDescent="0.25">
      <c r="C48" s="5"/>
      <c r="E48" s="12"/>
      <c r="F48" s="12"/>
    </row>
    <row r="49" spans="3:6" s="4" customFormat="1" x14ac:dyDescent="0.25">
      <c r="C49" s="5"/>
      <c r="E49" s="12"/>
      <c r="F49" s="12"/>
    </row>
    <row r="50" spans="3:6" s="4" customFormat="1" x14ac:dyDescent="0.25">
      <c r="C50" s="5"/>
      <c r="E50" s="12"/>
      <c r="F50" s="12"/>
    </row>
    <row r="51" spans="3:6" s="4" customFormat="1" x14ac:dyDescent="0.25">
      <c r="C51" s="5"/>
      <c r="E51" s="12"/>
      <c r="F51" s="12"/>
    </row>
    <row r="52" spans="3:6" s="4" customFormat="1" x14ac:dyDescent="0.25">
      <c r="C52" s="5"/>
      <c r="E52" s="12"/>
      <c r="F52" s="12"/>
    </row>
    <row r="53" spans="3:6" s="4" customFormat="1" x14ac:dyDescent="0.25">
      <c r="C53" s="5"/>
      <c r="E53" s="12"/>
      <c r="F53" s="12"/>
    </row>
    <row r="54" spans="3:6" s="4" customFormat="1" x14ac:dyDescent="0.25">
      <c r="C54" s="5"/>
      <c r="E54" s="12"/>
      <c r="F54" s="12"/>
    </row>
    <row r="55" spans="3:6" s="4" customFormat="1" x14ac:dyDescent="0.25">
      <c r="C55" s="5"/>
      <c r="E55" s="12"/>
      <c r="F55" s="12"/>
    </row>
    <row r="56" spans="3:6" s="4" customFormat="1" x14ac:dyDescent="0.25">
      <c r="C56" s="5"/>
      <c r="E56" s="12"/>
      <c r="F56" s="12"/>
    </row>
    <row r="57" spans="3:6" s="4" customFormat="1" x14ac:dyDescent="0.25">
      <c r="C57" s="5"/>
      <c r="E57" s="12"/>
      <c r="F57" s="12"/>
    </row>
    <row r="58" spans="3:6" s="4" customFormat="1" x14ac:dyDescent="0.25">
      <c r="C58" s="5"/>
      <c r="E58" s="12"/>
      <c r="F58" s="12"/>
    </row>
    <row r="59" spans="3:6" s="4" customFormat="1" x14ac:dyDescent="0.25">
      <c r="C59" s="5"/>
      <c r="E59" s="12"/>
      <c r="F59" s="12"/>
    </row>
    <row r="60" spans="3:6" s="4" customFormat="1" x14ac:dyDescent="0.25">
      <c r="C60" s="5"/>
      <c r="E60" s="12"/>
      <c r="F60" s="12"/>
    </row>
  </sheetData>
  <dataValidations count="8">
    <dataValidation type="list" errorStyle="warning" allowBlank="1" showInputMessage="1" showErrorMessage="1" errorTitle="Not acceptable" error="Only listed options shall be selected" promptTitle="Select..." prompt="Select from the options" sqref="E6" xr:uid="{85D1CDB7-DC6D-4A80-BE93-3EDEA66A6B03}">
      <formula1>"fixed,portable,handheld,mobile"</formula1>
    </dataValidation>
    <dataValidation type="list" errorStyle="warning" showInputMessage="1" showErrorMessage="1" errorTitle="Not acceptable" error="Only listed options shall be selected" promptTitle="Select..." prompt="Select from the options" sqref="E13" xr:uid="{38303ABB-638B-4AA5-8B06-C3B14616ABA6}">
      <formula1>"QPSK,16-QAM,64-QAM,256-QAM"</formula1>
    </dataValidation>
    <dataValidation type="list" showInputMessage="1" showErrorMessage="1" errorTitle="Not acceptable" error="Only listed options shall be selected" promptTitle="Select..." prompt="Select from the listed options" sqref="E14:E15" xr:uid="{6B2A00F3-3FFF-401C-9DA2-D86C093EFF02}">
      <formula1>"'1/2,'3/5,'2/3,'3/4,'4/5,'5/6"</formula1>
    </dataValidation>
    <dataValidation type="list" errorStyle="warning" allowBlank="1" showInputMessage="1" showErrorMessage="1" errorTitle="Not acceptable" error="Only listed options shall be selected" promptTitle="Select..." prompt="Select from the options" sqref="E10" xr:uid="{1DF5BFDC-4E19-423B-8D7E-2B45A2910D6D}">
      <formula1>"urban,rural"</formula1>
    </dataValidation>
    <dataValidation type="list" errorStyle="warning" allowBlank="1" showInputMessage="1" showErrorMessage="1" errorTitle="Not acceptable" error="Only listed options shall be selected" promptTitle="Select..." prompt="Select from the options" sqref="E9" xr:uid="{8B50D922-2F5E-499D-AE89-CE4F8AF07A24}">
      <formula1>"integrated,external"</formula1>
    </dataValidation>
    <dataValidation type="list" errorStyle="warning" allowBlank="1" showInputMessage="1" showErrorMessage="1" errorTitle="Not acceptable" error="Only listed options shall be selected" promptTitle="Select..." prompt="Select from the options" sqref="E11:E12" xr:uid="{CA693F2F-F825-4CB4-A75E-50FE5FBF0042}">
      <formula1>"high,medium,low"</formula1>
    </dataValidation>
    <dataValidation type="list" errorStyle="warning" allowBlank="1" showInputMessage="1" showErrorMessage="1" errorTitle="Not acceptable" error="Only listed options shall be selected" promptTitle="Select..." prompt="Select from the options" sqref="E8" xr:uid="{A28E95FD-E4BE-42CF-B4AE-0DCC8A115BF6}">
      <formula1>"70,90,95,99"</formula1>
    </dataValidation>
    <dataValidation type="list" errorStyle="warning" allowBlank="1" showInputMessage="1" showErrorMessage="1" errorTitle="Not acceptable" error="Only listed options shall be selected" promptTitle="Select..." prompt="Select from the options" sqref="E7" xr:uid="{5914317E-16BC-42A1-8A56-9D6B7C8B5B17}">
      <formula1>"indoor,outdoor"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10bbaef6-d4a7-405e-9931-3d8f23196d10</TitusGUID>
  <TitusMetadata xmlns="">eyJucyI6Imh0dHA6XC9cL3d3dy50aXR1cy5jb21cL25zXC9tZWxpc3NhIiwicHJvcHMiOlt7Im4iOiJDTEFTU0lGSUNBVElPTiIsInZhbHMiOlt7InZhbHVlIjoiVElUVVNfSU5URVJOQUwifV19XX0=</TitusMetadata>
</titus>
</file>

<file path=customXml/itemProps1.xml><?xml version="1.0" encoding="utf-8"?>
<ds:datastoreItem xmlns:ds="http://schemas.openxmlformats.org/officeDocument/2006/customXml" ds:itemID="{3CDB3A6B-E6F9-4732-9E91-0D380D7AFAB9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DTTB min field strength calculator</dc:title>
  <dc:creator>Bakyt-Bek Murzabaev</dc:creator>
  <cp:keywords>DTTB;DVB-T2;DVB-T</cp:keywords>
  <cp:lastModifiedBy>Bakyt-Bek 2nd Rev</cp:lastModifiedBy>
  <dcterms:created xsi:type="dcterms:W3CDTF">2025-11-12T09:00:27Z</dcterms:created>
  <dcterms:modified xsi:type="dcterms:W3CDTF">2025-11-17T17:02:35Z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10bbaef6-d4a7-405e-9931-3d8f23196d10</vt:lpwstr>
  </property>
  <property fmtid="{D5CDD505-2E9C-101B-9397-08002B2CF9AE}" pid="3" name="OriginatingUser">
    <vt:lpwstr>bmurzabaev</vt:lpwstr>
  </property>
  <property fmtid="{D5CDD505-2E9C-101B-9397-08002B2CF9AE}" pid="4" name="CLASSIFICATION">
    <vt:lpwstr>TITUS_INTERNAL</vt:lpwstr>
  </property>
</Properties>
</file>